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y2\Desktop\thesis\"/>
    </mc:Choice>
  </mc:AlternateContent>
  <xr:revisionPtr revIDLastSave="0" documentId="13_ncr:1_{C7AD91FD-2920-48C1-9054-83479FED3DBF}" xr6:coauthVersionLast="47" xr6:coauthVersionMax="47" xr10:uidLastSave="{00000000-0000-0000-0000-000000000000}"/>
  <bookViews>
    <workbookView xWindow="-110" yWindow="-110" windowWidth="19420" windowHeight="10300" tabRatio="762" xr2:uid="{15995C0E-0064-47E9-8167-B48B25B29948}"/>
  </bookViews>
  <sheets>
    <sheet name="Inputs" sheetId="5" r:id="rId1"/>
    <sheet name="Decomposition" sheetId="6" r:id="rId2"/>
    <sheet name="Dual criterion tests" sheetId="9" r:id="rId3"/>
    <sheet name="Summary" sheetId="7" r:id="rId4"/>
    <sheet name="means_table_2012" sheetId="10" r:id="rId5"/>
    <sheet name="means_table_2022" sheetId="13" r:id="rId6"/>
    <sheet name="reg_results_2012" sheetId="3" r:id="rId7"/>
    <sheet name="reg_results_2022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  <c r="C5" i="7"/>
  <c r="B5" i="7"/>
  <c r="B6" i="7" s="1"/>
  <c r="C4" i="7"/>
  <c r="B4" i="7"/>
  <c r="C6" i="7"/>
  <c r="C7" i="7"/>
  <c r="B8" i="7"/>
  <c r="C8" i="7"/>
  <c r="B9" i="7"/>
  <c r="C3" i="7"/>
  <c r="B3" i="7"/>
  <c r="C2" i="7"/>
  <c r="B2" i="7"/>
  <c r="H24" i="9"/>
  <c r="H25" i="9"/>
  <c r="I25" i="9" s="1"/>
  <c r="J25" i="9" s="1"/>
  <c r="H26" i="9"/>
  <c r="H27" i="9"/>
  <c r="I27" i="9" s="1"/>
  <c r="J27" i="9" s="1"/>
  <c r="H23" i="9"/>
  <c r="I23" i="9" s="1"/>
  <c r="J23" i="9" s="1"/>
  <c r="H9" i="9"/>
  <c r="I9" i="9" s="1"/>
  <c r="J9" i="9" s="1"/>
  <c r="H17" i="9"/>
  <c r="I17" i="9" s="1"/>
  <c r="J17" i="9" s="1"/>
  <c r="H16" i="9"/>
  <c r="I16" i="9" s="1"/>
  <c r="J16" i="9" s="1"/>
  <c r="H18" i="9"/>
  <c r="I18" i="9" s="1"/>
  <c r="J18" i="9" s="1"/>
  <c r="H19" i="9"/>
  <c r="H20" i="9"/>
  <c r="H2" i="9"/>
  <c r="I2" i="9" s="1"/>
  <c r="J2" i="9" s="1"/>
  <c r="G16" i="9"/>
  <c r="J24" i="9"/>
  <c r="J26" i="9"/>
  <c r="I24" i="9"/>
  <c r="I26" i="9"/>
  <c r="G24" i="9"/>
  <c r="G25" i="9"/>
  <c r="G26" i="9"/>
  <c r="G27" i="9"/>
  <c r="G23" i="9"/>
  <c r="I19" i="9"/>
  <c r="J19" i="9" s="1"/>
  <c r="I20" i="9"/>
  <c r="J20" i="9" s="1"/>
  <c r="G2" i="9"/>
  <c r="G17" i="9"/>
  <c r="G18" i="9"/>
  <c r="G19" i="9"/>
  <c r="G20" i="9"/>
  <c r="J10" i="9"/>
  <c r="J11" i="9"/>
  <c r="J12" i="9"/>
  <c r="J13" i="9"/>
  <c r="I11" i="9"/>
  <c r="I10" i="9"/>
  <c r="I12" i="9"/>
  <c r="I13" i="9"/>
  <c r="H10" i="9"/>
  <c r="H11" i="9"/>
  <c r="H12" i="9"/>
  <c r="H13" i="9"/>
  <c r="G10" i="9"/>
  <c r="G11" i="9"/>
  <c r="G12" i="9"/>
  <c r="G13" i="9"/>
  <c r="G9" i="9"/>
  <c r="I3" i="9"/>
  <c r="J3" i="9" s="1"/>
  <c r="I4" i="9"/>
  <c r="J4" i="9" s="1"/>
  <c r="H3" i="9"/>
  <c r="H4" i="9"/>
  <c r="H5" i="9"/>
  <c r="H6" i="9"/>
  <c r="G3" i="9"/>
  <c r="G4" i="9"/>
  <c r="G5" i="9"/>
  <c r="I5" i="9" s="1"/>
  <c r="J5" i="9" s="1"/>
  <c r="G6" i="9"/>
  <c r="I6" i="9" s="1"/>
  <c r="J6" i="9" s="1"/>
  <c r="F2" i="6"/>
  <c r="C2" i="6"/>
  <c r="G4" i="6"/>
  <c r="G5" i="6"/>
  <c r="G6" i="6"/>
  <c r="G7" i="6"/>
  <c r="G3" i="6"/>
  <c r="F4" i="6"/>
  <c r="F5" i="6"/>
  <c r="F6" i="6"/>
  <c r="F7" i="6"/>
  <c r="F3" i="6"/>
  <c r="E4" i="6"/>
  <c r="C17" i="7" s="1"/>
  <c r="E5" i="6"/>
  <c r="E6" i="6"/>
  <c r="E7" i="6"/>
  <c r="E3" i="6"/>
  <c r="D4" i="6"/>
  <c r="D5" i="6"/>
  <c r="D6" i="6"/>
  <c r="D7" i="6"/>
  <c r="D3" i="6"/>
  <c r="C4" i="6"/>
  <c r="C5" i="6"/>
  <c r="C6" i="6"/>
  <c r="C7" i="6"/>
  <c r="C3" i="6"/>
  <c r="B4" i="6"/>
  <c r="B5" i="6"/>
  <c r="B6" i="6"/>
  <c r="B7" i="6"/>
  <c r="B3" i="6"/>
  <c r="G2" i="6"/>
  <c r="E2" i="6"/>
  <c r="C15" i="7" s="1"/>
  <c r="D2" i="6"/>
  <c r="B2" i="6"/>
  <c r="B15" i="7" s="1"/>
  <c r="B8" i="6" l="1"/>
  <c r="C18" i="7"/>
  <c r="B20" i="7"/>
  <c r="C16" i="7"/>
  <c r="C20" i="7"/>
  <c r="C19" i="7"/>
  <c r="B19" i="7"/>
  <c r="B18" i="7"/>
  <c r="B17" i="7"/>
  <c r="F8" i="6" l="1"/>
  <c r="C10" i="7" s="1"/>
  <c r="C21" i="7"/>
  <c r="E8" i="6"/>
  <c r="C9" i="7" s="1"/>
  <c r="G8" i="6"/>
  <c r="C11" i="7" s="1"/>
  <c r="D8" i="6"/>
  <c r="B11" i="7" s="1"/>
  <c r="C8" i="6"/>
  <c r="B10" i="7" s="1"/>
  <c r="C12" i="7" l="1"/>
  <c r="B12" i="7"/>
  <c r="B16" i="7"/>
  <c r="B21" i="7" s="1"/>
</calcChain>
</file>

<file path=xl/sharedStrings.xml><?xml version="1.0" encoding="utf-8"?>
<sst xmlns="http://schemas.openxmlformats.org/spreadsheetml/2006/main" count="324" uniqueCount="76">
  <si>
    <t>variable</t>
  </si>
  <si>
    <t>ESCS</t>
  </si>
  <si>
    <t>MATHEFF</t>
  </si>
  <si>
    <t>ANXMAT</t>
  </si>
  <si>
    <t>TEACHSUP</t>
  </si>
  <si>
    <t>LANGN_Other</t>
  </si>
  <si>
    <t>PV_MATH</t>
  </si>
  <si>
    <t>LANGNMajority</t>
  </si>
  <si>
    <t>LANGNOther</t>
  </si>
  <si>
    <t>*</t>
  </si>
  <si>
    <t>FIN</t>
  </si>
  <si>
    <t>(Intercept)</t>
  </si>
  <si>
    <t>NOR</t>
  </si>
  <si>
    <t>significant</t>
  </si>
  <si>
    <t>p_value</t>
  </si>
  <si>
    <t>se</t>
  </si>
  <si>
    <t>coefficient</t>
  </si>
  <si>
    <t>country</t>
  </si>
  <si>
    <t>cycle</t>
  </si>
  <si>
    <t>Variable</t>
  </si>
  <si>
    <t>Mean_NOR_12</t>
  </si>
  <si>
    <t>Mean_NOR_22</t>
  </si>
  <si>
    <t>Coef_NOR_12</t>
  </si>
  <si>
    <t>Coef_NOR_22</t>
  </si>
  <si>
    <t>TOTAL</t>
  </si>
  <si>
    <t>Component</t>
  </si>
  <si>
    <t>Endowment effect</t>
  </si>
  <si>
    <t>Coefficient effect</t>
  </si>
  <si>
    <t>Interaction effect</t>
  </si>
  <si>
    <t>Sum check (should = Total gap)</t>
  </si>
  <si>
    <t>Variable contributions to Endowment</t>
  </si>
  <si>
    <t>Mean_FIN_12</t>
  </si>
  <si>
    <t>Mean_FIN_22</t>
  </si>
  <si>
    <t>Coef_FIN_12</t>
  </si>
  <si>
    <t>Coef_FIN_22</t>
  </si>
  <si>
    <t>Endowment_NOR</t>
  </si>
  <si>
    <t>Coefficient_NOR</t>
  </si>
  <si>
    <t>Interaction_NOR</t>
  </si>
  <si>
    <t>Endowment_FIN</t>
  </si>
  <si>
    <t>Coefficient_FIN</t>
  </si>
  <si>
    <t>Interaction_FIN</t>
  </si>
  <si>
    <t>Total gap (2012 − 2022)</t>
  </si>
  <si>
    <t>Points_NOR</t>
  </si>
  <si>
    <t>Points_FIN</t>
  </si>
  <si>
    <t>t_value</t>
  </si>
  <si>
    <t>mean</t>
  </si>
  <si>
    <t>Country</t>
  </si>
  <si>
    <t>Mean 2012</t>
  </si>
  <si>
    <t>Mean 2022</t>
  </si>
  <si>
    <t>Beta 2012</t>
  </si>
  <si>
    <t>Beta 2022</t>
  </si>
  <si>
    <t>SE Mean 2012</t>
  </si>
  <si>
    <t>SE Mean 2022</t>
  </si>
  <si>
    <t>Diff Mean 2012 2022</t>
  </si>
  <si>
    <t>SE Diff Mean</t>
  </si>
  <si>
    <t>a marker</t>
  </si>
  <si>
    <t>SE Beta 2012</t>
  </si>
  <si>
    <t>SE Beta 2022</t>
  </si>
  <si>
    <t>Diff Beta 2012 2022</t>
  </si>
  <si>
    <t>t Diff Mean</t>
  </si>
  <si>
    <t>SE Diff Beta</t>
  </si>
  <si>
    <t>t Diff Beta</t>
  </si>
  <si>
    <t>b marker</t>
  </si>
  <si>
    <t>SE of gap, without link error</t>
  </si>
  <si>
    <t>SE of gap, with link error</t>
  </si>
  <si>
    <t>t-value, with link error</t>
  </si>
  <si>
    <t>95% CI lower</t>
  </si>
  <si>
    <t>95% CI upper</t>
  </si>
  <si>
    <t>Observed gap</t>
  </si>
  <si>
    <t>Note. Bolded values indicate results that satisfy the dual-criterion rule for statistical meaningfulness (Olsen &amp; Blömeke, 2018).</t>
  </si>
  <si>
    <t>Endowment Component: A contribution is considered meaningful if both the difference between the 2012 and 2022 predictor means is statistically significant (marker a), and the variable’s regression coefficient in 2022 is statistically significant</t>
  </si>
  <si>
    <t>Coefficient Component: A contribution is considered meaningful if both the difference between the 2012 and 2022 regression coefficients is statistically significant (marker b), and the predictor mean in 2022 is statistically significant</t>
  </si>
  <si>
    <t>Marker a: Indicates a statistically significant difference between the 2012 and 2022 predictor means (p&lt;.05)</t>
  </si>
  <si>
    <t>Marker b: Indicates a statistically significant difference between the 2012 and 2022 regression coefficients</t>
  </si>
  <si>
    <t>The dual criterion approach relies on the simplifying assumption that the two factors in each product term are independent.</t>
  </si>
  <si>
    <t>Interaction effects are reported for completeness but were not subjected to formal significance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</si>
</sst>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"/>
    <numFmt numFmtId="166" formatCode="0.000"/>
    <numFmt numFmtId="172" formatCode="0E+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6" fillId="0" borderId="0" xfId="0" applyFont="1"/>
    <xf numFmtId="0" fontId="16" fillId="33" borderId="0" xfId="0" applyFont="1" applyFill="1"/>
    <xf numFmtId="0" fontId="0" fillId="33" borderId="0" xfId="0" applyFill="1"/>
    <xf numFmtId="0" fontId="16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33" borderId="0" xfId="0" applyFont="1" applyFill="1" applyAlignment="1">
      <alignment vertical="center" wrapText="1"/>
    </xf>
    <xf numFmtId="0" fontId="0" fillId="33" borderId="0" xfId="0" applyFill="1" applyAlignment="1">
      <alignment vertical="center" wrapText="1"/>
    </xf>
    <xf numFmtId="0" fontId="16" fillId="33" borderId="0" xfId="0" applyFont="1" applyFill="1" applyAlignment="1">
      <alignment horizontal="left" wrapText="1"/>
    </xf>
    <xf numFmtId="166" fontId="0" fillId="0" borderId="0" xfId="0" applyNumberFormat="1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166" fontId="0" fillId="33" borderId="0" xfId="0" applyNumberFormat="1" applyFill="1"/>
    <xf numFmtId="166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1" fontId="0" fillId="0" borderId="0" xfId="0" applyNumberFormat="1"/>
    <xf numFmtId="0" fontId="0" fillId="0" borderId="0" xfId="0" applyFill="1" applyAlignment="1">
      <alignment vertical="center" wrapText="1"/>
    </xf>
    <xf numFmtId="0" fontId="16" fillId="0" borderId="0" xfId="0" applyFont="1" applyFill="1" applyAlignment="1">
      <alignment horizontal="left"/>
    </xf>
    <xf numFmtId="166" fontId="16" fillId="0" borderId="0" xfId="0" applyNumberFormat="1" applyFont="1" applyAlignment="1">
      <alignment vertical="center" wrapText="1"/>
    </xf>
    <xf numFmtId="166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52D2-B6DD-42B3-8CC5-06198CDC3936}">
  <dimension ref="A1:I7"/>
  <sheetViews>
    <sheetView tabSelected="1" zoomScale="75" zoomScaleNormal="82" workbookViewId="0">
      <selection activeCell="A9" sqref="A9"/>
    </sheetView>
  </sheetViews>
  <sheetFormatPr defaultColWidth="17.90625" defaultRowHeight="14.5" x14ac:dyDescent="0.35"/>
  <sheetData>
    <row r="1" spans="1:9" x14ac:dyDescent="0.3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31</v>
      </c>
      <c r="G1" s="2" t="s">
        <v>32</v>
      </c>
      <c r="H1" s="2" t="s">
        <v>33</v>
      </c>
      <c r="I1" s="2" t="s">
        <v>34</v>
      </c>
    </row>
    <row r="2" spans="1:9" x14ac:dyDescent="0.35">
      <c r="A2" s="3" t="s">
        <v>11</v>
      </c>
      <c r="B2">
        <v>1</v>
      </c>
      <c r="C2">
        <v>1</v>
      </c>
      <c r="D2" s="15">
        <v>489.83819999999997</v>
      </c>
      <c r="E2" s="15">
        <v>478.03519999999997</v>
      </c>
      <c r="F2">
        <v>1</v>
      </c>
      <c r="G2">
        <v>1</v>
      </c>
      <c r="H2" s="15">
        <v>519.26409999999998</v>
      </c>
      <c r="I2" s="15">
        <v>490.39120000000003</v>
      </c>
    </row>
    <row r="3" spans="1:9" x14ac:dyDescent="0.35">
      <c r="A3" s="3" t="s">
        <v>1</v>
      </c>
      <c r="B3" s="15">
        <v>0.33119999999999999</v>
      </c>
      <c r="C3" s="15">
        <v>0.51200000000000001</v>
      </c>
      <c r="D3" s="15">
        <v>11.508800000000001</v>
      </c>
      <c r="E3" s="15">
        <v>20.959</v>
      </c>
      <c r="F3" s="15">
        <v>0.28289999999999998</v>
      </c>
      <c r="G3" s="15">
        <v>0.25869999999999999</v>
      </c>
      <c r="H3" s="15">
        <v>18.606300000000001</v>
      </c>
      <c r="I3" s="15">
        <v>24.164300000000001</v>
      </c>
    </row>
    <row r="4" spans="1:9" x14ac:dyDescent="0.35">
      <c r="A4" s="3" t="s">
        <v>5</v>
      </c>
      <c r="B4" s="15">
        <v>7.8E-2</v>
      </c>
      <c r="C4" s="15">
        <v>0.14080000000000001</v>
      </c>
      <c r="D4" s="15">
        <v>-36.189</v>
      </c>
      <c r="E4" s="15">
        <v>-19.769600000000001</v>
      </c>
      <c r="F4" s="15">
        <v>3.7499999999999999E-2</v>
      </c>
      <c r="G4" s="15">
        <v>8.0199999999999994E-2</v>
      </c>
      <c r="H4" s="15">
        <v>-66.232699999999994</v>
      </c>
      <c r="I4" s="15">
        <v>-48.060699999999997</v>
      </c>
    </row>
    <row r="5" spans="1:9" x14ac:dyDescent="0.35">
      <c r="A5" s="3" t="s">
        <v>2</v>
      </c>
      <c r="B5" s="15">
        <v>-2.6599999999999999E-2</v>
      </c>
      <c r="C5" s="15">
        <v>-0.55230000000000001</v>
      </c>
      <c r="D5" s="15">
        <v>34.6006</v>
      </c>
      <c r="E5" s="15">
        <v>26.454599999999999</v>
      </c>
      <c r="F5" s="15">
        <v>-0.26829999999999998</v>
      </c>
      <c r="G5" s="15">
        <v>-0.39279999999999998</v>
      </c>
      <c r="H5" s="15">
        <v>35.741399999999999</v>
      </c>
      <c r="I5" s="15">
        <v>27.6935</v>
      </c>
    </row>
    <row r="6" spans="1:9" x14ac:dyDescent="0.35">
      <c r="A6" s="3" t="s">
        <v>3</v>
      </c>
      <c r="B6" s="15">
        <v>1.8100000000000002E-2</v>
      </c>
      <c r="C6" s="15">
        <v>0.2203</v>
      </c>
      <c r="D6" s="15">
        <v>-23.207000000000001</v>
      </c>
      <c r="E6" s="15">
        <v>-10.3512</v>
      </c>
      <c r="F6" s="15">
        <v>-0.3049</v>
      </c>
      <c r="G6" s="15">
        <v>-0.25380000000000003</v>
      </c>
      <c r="H6" s="15">
        <v>-22.767600000000002</v>
      </c>
      <c r="I6" s="15">
        <v>-9.8301999999999996</v>
      </c>
    </row>
    <row r="7" spans="1:9" x14ac:dyDescent="0.35">
      <c r="A7" s="3" t="s">
        <v>4</v>
      </c>
      <c r="B7" s="15">
        <v>-3.7199999999999997E-2</v>
      </c>
      <c r="C7" s="15">
        <v>-0.18410000000000001</v>
      </c>
      <c r="D7" s="15">
        <v>2.9613</v>
      </c>
      <c r="E7" s="15">
        <v>3.4594999999999998</v>
      </c>
      <c r="F7" s="15">
        <v>0.15679999999999999</v>
      </c>
      <c r="G7" s="15">
        <v>-8.0000000000000002E-3</v>
      </c>
      <c r="H7" s="15">
        <v>-4.1257000000000001</v>
      </c>
      <c r="I7" s="15">
        <v>4.1731999999999996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9E6C-FD08-46B2-BFBC-B38048E89DAE}">
  <dimension ref="A1:G16"/>
  <sheetViews>
    <sheetView zoomScale="90" zoomScaleNormal="74" workbookViewId="0">
      <selection activeCell="A17" sqref="A17"/>
    </sheetView>
  </sheetViews>
  <sheetFormatPr defaultColWidth="17.7265625" defaultRowHeight="14.5" x14ac:dyDescent="0.35"/>
  <cols>
    <col min="1" max="1" width="11.26953125" bestFit="1" customWidth="1"/>
    <col min="2" max="2" width="15.7265625" bestFit="1" customWidth="1"/>
    <col min="3" max="3" width="15.36328125" bestFit="1" customWidth="1"/>
    <col min="4" max="4" width="14.90625" bestFit="1" customWidth="1"/>
    <col min="5" max="5" width="14.6328125" bestFit="1" customWidth="1"/>
    <col min="6" max="6" width="14.26953125" bestFit="1" customWidth="1"/>
    <col min="7" max="7" width="13.81640625" bestFit="1" customWidth="1"/>
    <col min="9" max="9" width="11.26953125" bestFit="1" customWidth="1"/>
    <col min="10" max="10" width="15.7265625" bestFit="1" customWidth="1"/>
    <col min="11" max="11" width="6.54296875" bestFit="1" customWidth="1"/>
    <col min="12" max="12" width="15.36328125" bestFit="1" customWidth="1"/>
    <col min="13" max="13" width="6.6328125" bestFit="1" customWidth="1"/>
    <col min="14" max="14" width="14.90625" bestFit="1" customWidth="1"/>
    <col min="15" max="15" width="14.6328125" bestFit="1" customWidth="1"/>
    <col min="16" max="16" width="5.453125" bestFit="1" customWidth="1"/>
    <col min="17" max="17" width="14.26953125" bestFit="1" customWidth="1"/>
    <col min="18" max="18" width="5.54296875" bestFit="1" customWidth="1"/>
    <col min="19" max="19" width="13.81640625" bestFit="1" customWidth="1"/>
  </cols>
  <sheetData>
    <row r="1" spans="1:7" s="1" customFormat="1" x14ac:dyDescent="0.35">
      <c r="A1" s="10" t="s">
        <v>19</v>
      </c>
      <c r="B1" s="10" t="s">
        <v>35</v>
      </c>
      <c r="C1" s="10" t="s">
        <v>36</v>
      </c>
      <c r="D1" s="10" t="s">
        <v>37</v>
      </c>
      <c r="E1" s="2" t="s">
        <v>38</v>
      </c>
      <c r="F1" s="2" t="s">
        <v>39</v>
      </c>
      <c r="G1" s="2" t="s">
        <v>40</v>
      </c>
    </row>
    <row r="2" spans="1:7" x14ac:dyDescent="0.35">
      <c r="A2" s="11" t="s">
        <v>11</v>
      </c>
      <c r="B2" s="8">
        <f>0</f>
        <v>0</v>
      </c>
      <c r="C2" s="13">
        <f>Inputs!D2 - Inputs!E2</f>
        <v>11.802999999999997</v>
      </c>
      <c r="D2" s="8">
        <f>0</f>
        <v>0</v>
      </c>
      <c r="E2">
        <f>0</f>
        <v>0</v>
      </c>
      <c r="F2" s="15">
        <f>Inputs!H2 - Inputs!I2</f>
        <v>28.872899999999959</v>
      </c>
      <c r="G2">
        <f>0</f>
        <v>0</v>
      </c>
    </row>
    <row r="3" spans="1:7" x14ac:dyDescent="0.35">
      <c r="A3" s="11" t="s">
        <v>1</v>
      </c>
      <c r="B3" s="23">
        <f>(Inputs!B3 - Inputs!C3)*Inputs!E3</f>
        <v>-3.7893872000000002</v>
      </c>
      <c r="C3" s="23">
        <f>Inputs!C3*(Inputs!D3-Inputs!E3)</f>
        <v>-4.8385023999999994</v>
      </c>
      <c r="D3" s="13">
        <f>(Inputs!B3-Inputs!C3)*(Inputs!D3-Inputs!E3)</f>
        <v>1.7085961599999999</v>
      </c>
      <c r="E3" s="24">
        <f>(Inputs!F3 - Inputs!G3) * Inputs!I3</f>
        <v>0.58477606000000004</v>
      </c>
      <c r="F3" s="24">
        <f>Inputs!G3 * (Inputs!H3 - Inputs!I3)</f>
        <v>-1.4378545999999999</v>
      </c>
      <c r="G3" s="15">
        <f>(Inputs!F3 - Inputs!G3) * (Inputs!H3 - Inputs!I3)</f>
        <v>-0.1345036</v>
      </c>
    </row>
    <row r="4" spans="1:7" x14ac:dyDescent="0.35">
      <c r="A4" s="11" t="s">
        <v>8</v>
      </c>
      <c r="B4" s="23">
        <f>(Inputs!B4 - Inputs!C4)*Inputs!E4</f>
        <v>1.2415308800000002</v>
      </c>
      <c r="C4" s="23">
        <f>Inputs!C4*(Inputs!D4-Inputs!E4)</f>
        <v>-2.3118515200000003</v>
      </c>
      <c r="D4" s="13">
        <f>(Inputs!B4-Inputs!C4)*(Inputs!D4-Inputs!E4)</f>
        <v>1.0311383200000002</v>
      </c>
      <c r="E4" s="24">
        <f>(Inputs!F4 - Inputs!G4) * Inputs!I4</f>
        <v>2.0521918899999996</v>
      </c>
      <c r="F4" s="24">
        <f>Inputs!G4 * (Inputs!H4 - Inputs!I4)</f>
        <v>-1.4573943999999996</v>
      </c>
      <c r="G4" s="15">
        <f>(Inputs!F4 - Inputs!G4) * (Inputs!H4 - Inputs!I4)</f>
        <v>0.77594439999999976</v>
      </c>
    </row>
    <row r="5" spans="1:7" x14ac:dyDescent="0.35">
      <c r="A5" s="11" t="s">
        <v>2</v>
      </c>
      <c r="B5" s="23">
        <f>(Inputs!B5 - Inputs!C5)*Inputs!E5</f>
        <v>13.90718322</v>
      </c>
      <c r="C5" s="23">
        <f>Inputs!C5*(Inputs!D5-Inputs!E5)</f>
        <v>-4.4990358000000006</v>
      </c>
      <c r="D5" s="13">
        <f>(Inputs!B5-Inputs!C5)*(Inputs!D5-Inputs!E5)</f>
        <v>4.2823522000000009</v>
      </c>
      <c r="E5" s="24">
        <f>(Inputs!F5 - Inputs!G5) * Inputs!I5</f>
        <v>3.4478407500000001</v>
      </c>
      <c r="F5" s="24">
        <f>Inputs!G5 * (Inputs!H5 - Inputs!I5)</f>
        <v>-3.1612151199999992</v>
      </c>
      <c r="G5" s="15">
        <f>(Inputs!F5 - Inputs!G5) * (Inputs!H5 - Inputs!I5)</f>
        <v>1.0019635499999997</v>
      </c>
    </row>
    <row r="6" spans="1:7" x14ac:dyDescent="0.35">
      <c r="A6" s="11" t="s">
        <v>3</v>
      </c>
      <c r="B6" s="23">
        <f>(Inputs!B6 - Inputs!C6)*Inputs!E6</f>
        <v>2.09301264</v>
      </c>
      <c r="C6" s="23">
        <f>Inputs!C6*(Inputs!D6-Inputs!E6)</f>
        <v>-2.83213274</v>
      </c>
      <c r="D6" s="13">
        <f>(Inputs!B6-Inputs!C6)*(Inputs!D6-Inputs!E6)</f>
        <v>2.5994427600000001</v>
      </c>
      <c r="E6" s="24">
        <f>(Inputs!F6 - Inputs!G6) * Inputs!I6</f>
        <v>0.50232321999999974</v>
      </c>
      <c r="F6" s="24">
        <f>Inputs!G6 * (Inputs!H6 - Inputs!I6)</f>
        <v>3.283512120000001</v>
      </c>
      <c r="G6" s="15">
        <f>(Inputs!F6 - Inputs!G6) * (Inputs!H6 - Inputs!I6)</f>
        <v>0.66110113999999987</v>
      </c>
    </row>
    <row r="7" spans="1:7" x14ac:dyDescent="0.35">
      <c r="A7" s="11" t="s">
        <v>4</v>
      </c>
      <c r="B7" s="23">
        <f>(Inputs!B7 - Inputs!C7)*Inputs!E7</f>
        <v>0.50820055000000008</v>
      </c>
      <c r="C7" s="13">
        <f>Inputs!C7*(Inputs!D7-Inputs!E7)</f>
        <v>9.1718619999999959E-2</v>
      </c>
      <c r="D7" s="13">
        <f>(Inputs!B7-Inputs!C7)*(Inputs!D7-Inputs!E7)</f>
        <v>-7.3185579999999972E-2</v>
      </c>
      <c r="E7" s="24">
        <f>(Inputs!F7 - Inputs!G7) * Inputs!I7</f>
        <v>0.68774335999999991</v>
      </c>
      <c r="F7" s="24">
        <f>Inputs!G7 * (Inputs!H7 - Inputs!I7)</f>
        <v>6.6391199999999997E-2</v>
      </c>
      <c r="G7" s="15">
        <f>(Inputs!F7 - Inputs!G7) * (Inputs!H7 - Inputs!I7)</f>
        <v>-1.3676587199999999</v>
      </c>
    </row>
    <row r="8" spans="1:7" x14ac:dyDescent="0.35">
      <c r="A8" s="9" t="s">
        <v>24</v>
      </c>
      <c r="B8" s="13">
        <f>SUM(B2:B7)</f>
        <v>13.960540089999999</v>
      </c>
      <c r="C8" s="13">
        <f t="shared" ref="C8:F8" si="0">SUM(C2:C7)</f>
        <v>-2.5868038400000031</v>
      </c>
      <c r="D8" s="13">
        <f t="shared" si="0"/>
        <v>9.548343860000001</v>
      </c>
      <c r="E8" s="15">
        <f t="shared" si="0"/>
        <v>7.2748752799999998</v>
      </c>
      <c r="F8" s="13">
        <f t="shared" si="0"/>
        <v>26.166339199999964</v>
      </c>
      <c r="G8" s="13">
        <f>SUM(G2:G7)</f>
        <v>0.93684676999999961</v>
      </c>
    </row>
    <row r="10" spans="1:7" x14ac:dyDescent="0.35">
      <c r="A10" t="s">
        <v>69</v>
      </c>
    </row>
    <row r="11" spans="1:7" x14ac:dyDescent="0.35">
      <c r="A11" t="s">
        <v>70</v>
      </c>
    </row>
    <row r="12" spans="1:7" x14ac:dyDescent="0.35">
      <c r="A12" t="s">
        <v>71</v>
      </c>
    </row>
    <row r="13" spans="1:7" x14ac:dyDescent="0.35">
      <c r="A13" t="s">
        <v>72</v>
      </c>
    </row>
    <row r="14" spans="1:7" x14ac:dyDescent="0.35">
      <c r="A14" t="s">
        <v>73</v>
      </c>
    </row>
    <row r="15" spans="1:7" x14ac:dyDescent="0.35">
      <c r="A15" t="s">
        <v>74</v>
      </c>
    </row>
    <row r="16" spans="1:7" x14ac:dyDescent="0.35">
      <c r="A1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3FD4-377D-4516-9725-5E9C008FC9A5}">
  <dimension ref="A1:R34"/>
  <sheetViews>
    <sheetView zoomScale="63" workbookViewId="0">
      <selection activeCell="K27" sqref="K27"/>
    </sheetView>
  </sheetViews>
  <sheetFormatPr defaultRowHeight="14.5" x14ac:dyDescent="0.35"/>
  <cols>
    <col min="1" max="1" width="7.453125" bestFit="1" customWidth="1"/>
    <col min="2" max="2" width="11.26953125" bestFit="1" customWidth="1"/>
    <col min="3" max="3" width="9.7265625" bestFit="1" customWidth="1"/>
    <col min="4" max="4" width="12.1796875" bestFit="1" customWidth="1"/>
    <col min="5" max="5" width="9.7265625" bestFit="1" customWidth="1"/>
    <col min="6" max="6" width="12.1796875" bestFit="1" customWidth="1"/>
    <col min="7" max="7" width="17.7265625" bestFit="1" customWidth="1"/>
    <col min="8" max="8" width="11.81640625" bestFit="1" customWidth="1"/>
    <col min="9" max="9" width="14.1796875" customWidth="1"/>
    <col min="10" max="10" width="8.1796875" bestFit="1" customWidth="1"/>
  </cols>
  <sheetData>
    <row r="1" spans="1:18" x14ac:dyDescent="0.35">
      <c r="A1" s="2" t="s">
        <v>46</v>
      </c>
      <c r="B1" s="2" t="s">
        <v>19</v>
      </c>
      <c r="C1" s="2" t="s">
        <v>47</v>
      </c>
      <c r="D1" s="2" t="s">
        <v>51</v>
      </c>
      <c r="E1" s="2" t="s">
        <v>48</v>
      </c>
      <c r="F1" s="2" t="s">
        <v>52</v>
      </c>
      <c r="G1" s="2" t="s">
        <v>53</v>
      </c>
      <c r="H1" s="2" t="s">
        <v>54</v>
      </c>
      <c r="I1" s="2" t="s">
        <v>59</v>
      </c>
      <c r="J1" s="2" t="s">
        <v>55</v>
      </c>
    </row>
    <row r="2" spans="1:18" x14ac:dyDescent="0.35">
      <c r="A2" t="s">
        <v>12</v>
      </c>
      <c r="B2" s="21" t="s">
        <v>1</v>
      </c>
      <c r="C2" s="14">
        <v>0.33119999999999999</v>
      </c>
      <c r="D2" s="14">
        <v>9.7000000000000003E-3</v>
      </c>
      <c r="E2" s="14">
        <v>0.51200000000000001</v>
      </c>
      <c r="F2" s="14">
        <v>9.7999999999999997E-3</v>
      </c>
      <c r="G2" s="15">
        <f>C2-E2</f>
        <v>-0.18080000000000002</v>
      </c>
      <c r="H2" s="14">
        <f xml:space="preserve"> SQRT(D2^2 + F2^2)</f>
        <v>1.3788763541376725E-2</v>
      </c>
      <c r="I2">
        <f xml:space="preserve"> G2 / H2</f>
        <v>-13.112125641828811</v>
      </c>
      <c r="J2" t="str">
        <f xml:space="preserve"> IF(ABS(I2)&gt;1.96,"a","")</f>
        <v>a</v>
      </c>
    </row>
    <row r="3" spans="1:18" x14ac:dyDescent="0.35">
      <c r="A3" t="s">
        <v>12</v>
      </c>
      <c r="B3" s="21" t="s">
        <v>8</v>
      </c>
      <c r="C3" s="14">
        <v>7.8E-2</v>
      </c>
      <c r="D3" s="14">
        <v>3.3E-3</v>
      </c>
      <c r="E3" s="14">
        <v>0.14080000000000001</v>
      </c>
      <c r="F3" s="14">
        <v>3.8E-3</v>
      </c>
      <c r="G3" s="15">
        <f t="shared" ref="G3:G6" si="0" xml:space="preserve"> C3 - E3</f>
        <v>-6.2800000000000009E-2</v>
      </c>
      <c r="H3" s="14">
        <f t="shared" ref="H3:H6" si="1" xml:space="preserve"> SQRT(D3^2 + F3^2)</f>
        <v>5.0328918128646474E-3</v>
      </c>
      <c r="I3">
        <f t="shared" ref="I3:I6" si="2" xml:space="preserve"> G3 / H3</f>
        <v>-12.477915746067902</v>
      </c>
      <c r="J3" t="str">
        <f t="shared" ref="J3:J6" si="3" xml:space="preserve"> IF(ABS(I3)&gt;1.96,"a","")</f>
        <v>a</v>
      </c>
    </row>
    <row r="4" spans="1:18" x14ac:dyDescent="0.35">
      <c r="A4" t="s">
        <v>12</v>
      </c>
      <c r="B4" s="21" t="s">
        <v>2</v>
      </c>
      <c r="C4" s="14">
        <v>-2.6599999999999999E-2</v>
      </c>
      <c r="D4" s="14">
        <v>1.54E-2</v>
      </c>
      <c r="E4" s="14">
        <v>-0.55230000000000001</v>
      </c>
      <c r="F4" s="14">
        <v>1.32E-2</v>
      </c>
      <c r="G4" s="15">
        <f t="shared" si="0"/>
        <v>0.52570000000000006</v>
      </c>
      <c r="H4" s="14">
        <f t="shared" si="1"/>
        <v>2.0282997806044353E-2</v>
      </c>
      <c r="I4">
        <f t="shared" si="2"/>
        <v>25.918259471651716</v>
      </c>
      <c r="J4" t="str">
        <f t="shared" si="3"/>
        <v>a</v>
      </c>
    </row>
    <row r="5" spans="1:18" x14ac:dyDescent="0.35">
      <c r="A5" t="s">
        <v>12</v>
      </c>
      <c r="B5" s="21" t="s">
        <v>3</v>
      </c>
      <c r="C5" s="14">
        <v>1.8100000000000002E-2</v>
      </c>
      <c r="D5" s="14">
        <v>1.37E-2</v>
      </c>
      <c r="E5" s="14">
        <v>0.2203</v>
      </c>
      <c r="F5" s="14">
        <v>1.23E-2</v>
      </c>
      <c r="G5" s="15">
        <f t="shared" si="0"/>
        <v>-0.20219999999999999</v>
      </c>
      <c r="H5" s="14">
        <f t="shared" si="1"/>
        <v>1.841140950606444E-2</v>
      </c>
      <c r="I5">
        <f t="shared" si="2"/>
        <v>-10.98232049715685</v>
      </c>
      <c r="J5" t="str">
        <f t="shared" si="3"/>
        <v>a</v>
      </c>
    </row>
    <row r="6" spans="1:18" x14ac:dyDescent="0.35">
      <c r="A6" t="s">
        <v>12</v>
      </c>
      <c r="B6" s="21" t="s">
        <v>4</v>
      </c>
      <c r="C6" s="14">
        <v>-3.7199999999999997E-2</v>
      </c>
      <c r="D6" s="14">
        <v>1.5100000000000001E-2</v>
      </c>
      <c r="E6" s="14">
        <v>-0.18410000000000001</v>
      </c>
      <c r="F6" s="14">
        <v>1.17E-2</v>
      </c>
      <c r="G6" s="15">
        <f t="shared" si="0"/>
        <v>0.14690000000000003</v>
      </c>
      <c r="H6" s="14">
        <f t="shared" si="1"/>
        <v>1.9102355875650522E-2</v>
      </c>
      <c r="I6">
        <f t="shared" si="2"/>
        <v>7.6901509403482109</v>
      </c>
      <c r="J6" t="str">
        <f t="shared" si="3"/>
        <v>a</v>
      </c>
    </row>
    <row r="7" spans="1:18" x14ac:dyDescent="0.35">
      <c r="K7" s="22"/>
      <c r="L7" s="22"/>
      <c r="M7" s="22"/>
      <c r="N7" s="22"/>
      <c r="O7" s="22"/>
      <c r="P7" s="22"/>
      <c r="Q7" s="22"/>
      <c r="R7" s="22"/>
    </row>
    <row r="8" spans="1:18" x14ac:dyDescent="0.35">
      <c r="A8" s="2" t="s">
        <v>46</v>
      </c>
      <c r="B8" s="2" t="s">
        <v>19</v>
      </c>
      <c r="C8" s="2" t="s">
        <v>49</v>
      </c>
      <c r="D8" s="2" t="s">
        <v>56</v>
      </c>
      <c r="E8" s="2" t="s">
        <v>50</v>
      </c>
      <c r="F8" s="2" t="s">
        <v>57</v>
      </c>
      <c r="G8" s="2" t="s">
        <v>58</v>
      </c>
      <c r="H8" s="2" t="s">
        <v>60</v>
      </c>
      <c r="I8" s="2" t="s">
        <v>61</v>
      </c>
      <c r="J8" s="2" t="s">
        <v>62</v>
      </c>
      <c r="K8" s="5"/>
      <c r="L8" s="5"/>
      <c r="M8" s="5"/>
      <c r="N8" s="17"/>
      <c r="O8" s="17"/>
      <c r="P8" s="17"/>
      <c r="Q8" s="18"/>
      <c r="R8" s="5"/>
    </row>
    <row r="9" spans="1:18" x14ac:dyDescent="0.35">
      <c r="A9" t="s">
        <v>12</v>
      </c>
      <c r="B9" s="21" t="s">
        <v>1</v>
      </c>
      <c r="C9" s="17">
        <v>11.508800000000001</v>
      </c>
      <c r="D9" s="17">
        <v>1.2866</v>
      </c>
      <c r="E9" s="17">
        <v>20.959</v>
      </c>
      <c r="F9" s="17">
        <v>1.1316999999999999</v>
      </c>
      <c r="G9" s="15">
        <f>C9-E9</f>
        <v>-9.4501999999999988</v>
      </c>
      <c r="H9">
        <f xml:space="preserve"> SQRT(D9^2 + F9^2)</f>
        <v>1.7135006419607783</v>
      </c>
      <c r="I9">
        <f>G9/H9</f>
        <v>-5.5151423749605524</v>
      </c>
      <c r="J9" t="str">
        <f xml:space="preserve"> IF(ABS(I9)&gt;1.96,"b","")</f>
        <v>b</v>
      </c>
      <c r="K9" s="5"/>
      <c r="L9" s="5"/>
      <c r="M9" s="5"/>
      <c r="N9" s="17"/>
      <c r="O9" s="17"/>
      <c r="P9" s="17"/>
      <c r="Q9" s="18"/>
      <c r="R9" s="5"/>
    </row>
    <row r="10" spans="1:18" x14ac:dyDescent="0.35">
      <c r="A10" t="s">
        <v>12</v>
      </c>
      <c r="B10" s="21" t="s">
        <v>8</v>
      </c>
      <c r="C10" s="17">
        <v>-36.189</v>
      </c>
      <c r="D10" s="17">
        <v>3.3673000000000002</v>
      </c>
      <c r="E10" s="17">
        <v>-19.769600000000001</v>
      </c>
      <c r="F10" s="17">
        <v>2.1797</v>
      </c>
      <c r="G10" s="15">
        <f t="shared" ref="G10:G13" si="4">C10-E10</f>
        <v>-16.4194</v>
      </c>
      <c r="H10">
        <f t="shared" ref="H10:H13" si="5" xml:space="preserve"> SQRT(D10^2 + F10^2)</f>
        <v>4.0112094659840443</v>
      </c>
      <c r="I10">
        <f>G10/H10</f>
        <v>-4.0933788522489767</v>
      </c>
      <c r="J10" t="str">
        <f t="shared" ref="J10:J13" si="6" xml:space="preserve"> IF(ABS(I10)&gt;1.96,"b","")</f>
        <v>b</v>
      </c>
      <c r="K10" s="5"/>
      <c r="L10" s="5"/>
      <c r="M10" s="5"/>
      <c r="N10" s="17"/>
      <c r="O10" s="17"/>
      <c r="P10" s="17"/>
      <c r="Q10" s="18"/>
      <c r="R10" s="5"/>
    </row>
    <row r="11" spans="1:18" x14ac:dyDescent="0.35">
      <c r="A11" t="s">
        <v>12</v>
      </c>
      <c r="B11" s="21" t="s">
        <v>2</v>
      </c>
      <c r="C11" s="17">
        <v>34.6006</v>
      </c>
      <c r="D11" s="17">
        <v>1.5484</v>
      </c>
      <c r="E11" s="17">
        <v>26.454599999999999</v>
      </c>
      <c r="F11" s="17">
        <v>0.82450000000000001</v>
      </c>
      <c r="G11" s="15">
        <f t="shared" si="4"/>
        <v>8.1460000000000008</v>
      </c>
      <c r="H11">
        <f t="shared" si="5"/>
        <v>1.7542356768689891</v>
      </c>
      <c r="I11">
        <f>G11/H11</f>
        <v>4.6436177917320771</v>
      </c>
      <c r="J11" t="str">
        <f t="shared" si="6"/>
        <v>b</v>
      </c>
      <c r="K11" s="5"/>
      <c r="L11" s="5"/>
      <c r="M11" s="5"/>
      <c r="N11" s="17"/>
      <c r="O11" s="17"/>
      <c r="P11" s="17"/>
      <c r="Q11" s="18"/>
      <c r="R11" s="5"/>
    </row>
    <row r="12" spans="1:18" x14ac:dyDescent="0.35">
      <c r="A12" t="s">
        <v>12</v>
      </c>
      <c r="B12" s="21" t="s">
        <v>3</v>
      </c>
      <c r="C12" s="17">
        <v>-23.207000000000001</v>
      </c>
      <c r="D12" s="17">
        <v>1.2912999999999999</v>
      </c>
      <c r="E12" s="17">
        <v>-10.3512</v>
      </c>
      <c r="F12" s="17">
        <v>0.82340000000000002</v>
      </c>
      <c r="G12" s="15">
        <f t="shared" si="4"/>
        <v>-12.8558</v>
      </c>
      <c r="H12">
        <f t="shared" si="5"/>
        <v>1.5314840025282666</v>
      </c>
      <c r="I12">
        <f t="shared" ref="I10:I13" si="7">G12/H12</f>
        <v>-8.3943416834762008</v>
      </c>
      <c r="J12" t="str">
        <f t="shared" si="6"/>
        <v>b</v>
      </c>
      <c r="K12" s="5"/>
      <c r="L12" s="5"/>
      <c r="M12" s="5"/>
      <c r="N12" s="17"/>
      <c r="O12" s="17"/>
      <c r="P12" s="17"/>
      <c r="Q12" s="18"/>
      <c r="R12" s="5"/>
    </row>
    <row r="13" spans="1:18" x14ac:dyDescent="0.35">
      <c r="A13" t="s">
        <v>12</v>
      </c>
      <c r="B13" s="21" t="s">
        <v>4</v>
      </c>
      <c r="C13" s="17">
        <v>2.9613</v>
      </c>
      <c r="D13" s="17">
        <v>1.4731000000000001</v>
      </c>
      <c r="E13" s="17">
        <v>3.4594999999999998</v>
      </c>
      <c r="F13" s="17">
        <v>0.92859999999999998</v>
      </c>
      <c r="G13" s="15">
        <f t="shared" si="4"/>
        <v>-0.49819999999999975</v>
      </c>
      <c r="H13">
        <f t="shared" si="5"/>
        <v>1.7413562444255914</v>
      </c>
      <c r="I13">
        <f t="shared" si="7"/>
        <v>-0.28609883910591621</v>
      </c>
      <c r="J13" t="str">
        <f t="shared" si="6"/>
        <v/>
      </c>
      <c r="K13" s="5"/>
      <c r="L13" s="5"/>
      <c r="M13" s="5"/>
      <c r="N13" s="17"/>
      <c r="O13" s="17"/>
      <c r="P13" s="17"/>
      <c r="Q13" s="7"/>
      <c r="R13" s="5"/>
    </row>
    <row r="14" spans="1:18" x14ac:dyDescent="0.35">
      <c r="D14" s="14"/>
      <c r="E14" s="14"/>
    </row>
    <row r="15" spans="1:18" x14ac:dyDescent="0.35">
      <c r="A15" s="2" t="s">
        <v>46</v>
      </c>
      <c r="B15" s="2" t="s">
        <v>19</v>
      </c>
      <c r="C15" s="4" t="s">
        <v>47</v>
      </c>
      <c r="D15" s="4" t="s">
        <v>51</v>
      </c>
      <c r="E15" s="4" t="s">
        <v>48</v>
      </c>
      <c r="F15" s="4" t="s">
        <v>52</v>
      </c>
      <c r="G15" s="4" t="s">
        <v>53</v>
      </c>
      <c r="H15" s="4" t="s">
        <v>54</v>
      </c>
      <c r="I15" s="4" t="s">
        <v>59</v>
      </c>
      <c r="J15" s="4" t="s">
        <v>55</v>
      </c>
    </row>
    <row r="16" spans="1:18" x14ac:dyDescent="0.35">
      <c r="A16" t="s">
        <v>10</v>
      </c>
      <c r="B16" t="s">
        <v>1</v>
      </c>
      <c r="C16" s="14">
        <v>0.28289999999999998</v>
      </c>
      <c r="D16" s="14">
        <v>7.7999999999999996E-3</v>
      </c>
      <c r="E16" s="14">
        <v>0.25869999999999999</v>
      </c>
      <c r="F16" s="14">
        <v>7.0000000000000001E-3</v>
      </c>
      <c r="G16" s="17">
        <f>C16-E16</f>
        <v>2.4199999999999999E-2</v>
      </c>
      <c r="H16" s="19">
        <f xml:space="preserve"> SQRT(D16^2 + F16^2)</f>
        <v>1.0480458005259121E-2</v>
      </c>
      <c r="I16" s="6">
        <f>G16/H16</f>
        <v>2.3090593930013723</v>
      </c>
      <c r="J16" s="5" t="str">
        <f xml:space="preserve"> IF(ABS(I16)&gt;1.96,"a","")</f>
        <v>a</v>
      </c>
    </row>
    <row r="17" spans="1:10" x14ac:dyDescent="0.35">
      <c r="A17" t="s">
        <v>10</v>
      </c>
      <c r="B17" t="s">
        <v>8</v>
      </c>
      <c r="C17" s="14">
        <v>3.7499999999999999E-2</v>
      </c>
      <c r="D17" s="14">
        <v>1.1999999999999999E-3</v>
      </c>
      <c r="E17" s="14">
        <v>8.0199999999999994E-2</v>
      </c>
      <c r="F17" s="14">
        <v>1.5E-3</v>
      </c>
      <c r="G17" s="17">
        <f t="shared" ref="G17:G20" si="8">C17-E17</f>
        <v>-4.2699999999999995E-2</v>
      </c>
      <c r="H17" s="19">
        <f xml:space="preserve"> SQRT(D17^2 + F17^2)</f>
        <v>1.9209372712298545E-3</v>
      </c>
      <c r="I17" s="6">
        <f t="shared" ref="I17:I20" si="9">G17/H17</f>
        <v>-22.228732108811595</v>
      </c>
      <c r="J17" s="5" t="str">
        <f t="shared" ref="J17:J20" si="10" xml:space="preserve"> IF(ABS(I17)&gt;1.96,"a","")</f>
        <v>a</v>
      </c>
    </row>
    <row r="18" spans="1:10" x14ac:dyDescent="0.35">
      <c r="A18" t="s">
        <v>10</v>
      </c>
      <c r="B18" t="s">
        <v>2</v>
      </c>
      <c r="C18" s="14">
        <v>-0.26829999999999998</v>
      </c>
      <c r="D18" s="14">
        <v>1.03E-2</v>
      </c>
      <c r="E18" s="14">
        <v>-0.39279999999999998</v>
      </c>
      <c r="F18" s="14">
        <v>1.06E-2</v>
      </c>
      <c r="G18" s="17">
        <f t="shared" si="8"/>
        <v>0.1245</v>
      </c>
      <c r="H18" s="19">
        <f t="shared" ref="H17:H20" si="11" xml:space="preserve"> SQRT(D18^2 + F18^2)</f>
        <v>1.4780054127099807E-2</v>
      </c>
      <c r="I18" s="6">
        <f t="shared" si="9"/>
        <v>8.4235144830575681</v>
      </c>
      <c r="J18" s="5" t="str">
        <f t="shared" si="10"/>
        <v>a</v>
      </c>
    </row>
    <row r="19" spans="1:10" x14ac:dyDescent="0.35">
      <c r="A19" t="s">
        <v>10</v>
      </c>
      <c r="B19" t="s">
        <v>3</v>
      </c>
      <c r="C19" s="14">
        <v>-0.3049</v>
      </c>
      <c r="D19" s="14">
        <v>1.04E-2</v>
      </c>
      <c r="E19" s="14">
        <v>-0.25380000000000003</v>
      </c>
      <c r="F19" s="14">
        <v>9.7000000000000003E-3</v>
      </c>
      <c r="G19" s="17">
        <f t="shared" si="8"/>
        <v>-5.1099999999999979E-2</v>
      </c>
      <c r="H19" s="19">
        <f t="shared" si="11"/>
        <v>1.4221462653327892E-2</v>
      </c>
      <c r="I19" s="6">
        <f t="shared" si="9"/>
        <v>-3.5931606506059577</v>
      </c>
      <c r="J19" s="5" t="str">
        <f t="shared" si="10"/>
        <v>a</v>
      </c>
    </row>
    <row r="20" spans="1:10" x14ac:dyDescent="0.35">
      <c r="A20" t="s">
        <v>10</v>
      </c>
      <c r="B20" t="s">
        <v>4</v>
      </c>
      <c r="C20" s="14">
        <v>0.15679999999999999</v>
      </c>
      <c r="D20" s="14">
        <v>1.24E-2</v>
      </c>
      <c r="E20" s="14">
        <v>-8.0000000000000002E-3</v>
      </c>
      <c r="F20" s="14">
        <v>9.7999999999999997E-3</v>
      </c>
      <c r="G20" s="17">
        <f t="shared" si="8"/>
        <v>0.1648</v>
      </c>
      <c r="H20" s="19">
        <f t="shared" si="11"/>
        <v>1.5805062480104277E-2</v>
      </c>
      <c r="I20" s="6">
        <f t="shared" si="9"/>
        <v>10.427038817939092</v>
      </c>
      <c r="J20" s="5" t="str">
        <f t="shared" si="10"/>
        <v>a</v>
      </c>
    </row>
    <row r="21" spans="1:10" x14ac:dyDescent="0.35">
      <c r="C21" s="5"/>
      <c r="D21" s="5"/>
      <c r="E21" s="5"/>
      <c r="F21" s="17"/>
      <c r="G21" s="17"/>
      <c r="H21" s="17"/>
      <c r="I21" s="18"/>
      <c r="J21" s="5"/>
    </row>
    <row r="22" spans="1:10" x14ac:dyDescent="0.35">
      <c r="A22" s="2" t="s">
        <v>46</v>
      </c>
      <c r="B22" s="2" t="s">
        <v>19</v>
      </c>
      <c r="C22" s="2" t="s">
        <v>49</v>
      </c>
      <c r="D22" s="2" t="s">
        <v>56</v>
      </c>
      <c r="E22" s="2" t="s">
        <v>50</v>
      </c>
      <c r="F22" s="2" t="s">
        <v>57</v>
      </c>
      <c r="G22" s="2" t="s">
        <v>58</v>
      </c>
      <c r="H22" s="2" t="s">
        <v>60</v>
      </c>
      <c r="I22" s="2" t="s">
        <v>61</v>
      </c>
      <c r="J22" s="2" t="s">
        <v>62</v>
      </c>
    </row>
    <row r="23" spans="1:10" x14ac:dyDescent="0.35">
      <c r="A23" t="s">
        <v>10</v>
      </c>
      <c r="B23" t="s">
        <v>1</v>
      </c>
      <c r="C23" s="14">
        <v>18.606300000000001</v>
      </c>
      <c r="D23" s="19">
        <v>0.90820000000000001</v>
      </c>
      <c r="E23" s="14">
        <v>24.164300000000001</v>
      </c>
      <c r="F23" s="19">
        <v>0.79259999999999997</v>
      </c>
      <c r="G23" s="15">
        <f>C23-E23</f>
        <v>-5.5579999999999998</v>
      </c>
      <c r="H23" s="14">
        <f xml:space="preserve"> SQRT(D23^2 + F23^2)</f>
        <v>1.2054219178362404</v>
      </c>
      <c r="I23">
        <f>G23/H23</f>
        <v>-4.6108336987738996</v>
      </c>
      <c r="J23" t="str">
        <f xml:space="preserve"> IF(ABS(I23)&gt;1.96,"b","")</f>
        <v>b</v>
      </c>
    </row>
    <row r="24" spans="1:10" x14ac:dyDescent="0.35">
      <c r="A24" t="s">
        <v>10</v>
      </c>
      <c r="B24" t="s">
        <v>8</v>
      </c>
      <c r="C24" s="14">
        <v>-66.232699999999994</v>
      </c>
      <c r="D24" s="19">
        <v>2.9405000000000001</v>
      </c>
      <c r="E24" s="14">
        <v>-48.060699999999997</v>
      </c>
      <c r="F24" s="19">
        <v>2.1153</v>
      </c>
      <c r="G24" s="15">
        <f t="shared" ref="G24:G27" si="12">C24-E24</f>
        <v>-18.171999999999997</v>
      </c>
      <c r="H24" s="14">
        <f t="shared" ref="H24:H27" si="13" xml:space="preserve"> SQRT(D24^2 + F24^2)</f>
        <v>3.6222968321218514</v>
      </c>
      <c r="I24">
        <f t="shared" ref="I24:I27" si="14">G24/H24</f>
        <v>-5.0167064827084564</v>
      </c>
      <c r="J24" t="str">
        <f t="shared" ref="J24:J27" si="15" xml:space="preserve"> IF(ABS(I24)&gt;1.96,"b","")</f>
        <v>b</v>
      </c>
    </row>
    <row r="25" spans="1:10" x14ac:dyDescent="0.35">
      <c r="A25" t="s">
        <v>10</v>
      </c>
      <c r="B25" t="s">
        <v>2</v>
      </c>
      <c r="C25" s="14">
        <v>35.741399999999999</v>
      </c>
      <c r="D25" s="19">
        <v>1.2374000000000001</v>
      </c>
      <c r="E25" s="14">
        <v>27.6935</v>
      </c>
      <c r="F25" s="19">
        <v>0.60129999999999995</v>
      </c>
      <c r="G25" s="15">
        <f t="shared" si="12"/>
        <v>8.0478999999999985</v>
      </c>
      <c r="H25" s="14">
        <f t="shared" si="13"/>
        <v>1.3757617708019074</v>
      </c>
      <c r="I25">
        <f t="shared" si="14"/>
        <v>5.8497773166854454</v>
      </c>
      <c r="J25" t="str">
        <f t="shared" si="15"/>
        <v>b</v>
      </c>
    </row>
    <row r="26" spans="1:10" x14ac:dyDescent="0.35">
      <c r="A26" t="s">
        <v>10</v>
      </c>
      <c r="B26" t="s">
        <v>3</v>
      </c>
      <c r="C26" s="14">
        <v>-22.767600000000002</v>
      </c>
      <c r="D26" s="19">
        <v>1.3268</v>
      </c>
      <c r="E26" s="14">
        <v>-9.8301999999999996</v>
      </c>
      <c r="F26" s="19">
        <v>0.66169999999999995</v>
      </c>
      <c r="G26" s="15">
        <f t="shared" si="12"/>
        <v>-12.937400000000002</v>
      </c>
      <c r="H26" s="14">
        <f t="shared" si="13"/>
        <v>1.4826480128472841</v>
      </c>
      <c r="I26">
        <f t="shared" si="14"/>
        <v>-8.7258741710076961</v>
      </c>
      <c r="J26" t="str">
        <f t="shared" si="15"/>
        <v>b</v>
      </c>
    </row>
    <row r="27" spans="1:10" x14ac:dyDescent="0.35">
      <c r="A27" t="s">
        <v>10</v>
      </c>
      <c r="B27" t="s">
        <v>4</v>
      </c>
      <c r="C27" s="14">
        <v>-4.1257000000000001</v>
      </c>
      <c r="D27" s="19">
        <v>1.1889000000000001</v>
      </c>
      <c r="E27" s="14">
        <v>4.1731999999999996</v>
      </c>
      <c r="F27" s="19">
        <v>0.82540000000000002</v>
      </c>
      <c r="G27" s="15">
        <f t="shared" si="12"/>
        <v>-8.2988999999999997</v>
      </c>
      <c r="H27" s="14">
        <f t="shared" si="13"/>
        <v>1.4473314651454241</v>
      </c>
      <c r="I27">
        <f t="shared" si="14"/>
        <v>-5.7339318600153195</v>
      </c>
      <c r="J27" t="str">
        <f t="shared" si="15"/>
        <v>b</v>
      </c>
    </row>
    <row r="28" spans="1:10" x14ac:dyDescent="0.35">
      <c r="D28" s="14"/>
      <c r="E28" s="14"/>
    </row>
    <row r="29" spans="1:10" x14ac:dyDescent="0.35">
      <c r="A29" s="5"/>
      <c r="B29" s="5"/>
      <c r="C29" s="5"/>
      <c r="D29" s="5"/>
      <c r="E29" s="5"/>
      <c r="F29" s="17"/>
      <c r="G29" s="17"/>
      <c r="H29" s="17"/>
      <c r="I29" s="18"/>
      <c r="J29" s="5"/>
    </row>
    <row r="30" spans="1:10" x14ac:dyDescent="0.35">
      <c r="A30" s="5"/>
      <c r="B30" s="5"/>
      <c r="C30" s="5"/>
      <c r="D30" s="5"/>
      <c r="E30" s="5"/>
      <c r="F30" s="17"/>
      <c r="G30" s="17"/>
      <c r="H30" s="17"/>
      <c r="I30" s="18"/>
      <c r="J30" s="5"/>
    </row>
    <row r="31" spans="1:10" x14ac:dyDescent="0.35">
      <c r="A31" s="5"/>
      <c r="B31" s="5"/>
      <c r="C31" s="5"/>
      <c r="D31" s="5"/>
      <c r="E31" s="5"/>
      <c r="F31" s="17"/>
      <c r="G31" s="17"/>
      <c r="H31" s="17"/>
      <c r="I31" s="18"/>
      <c r="J31" s="5"/>
    </row>
    <row r="32" spans="1:10" x14ac:dyDescent="0.35">
      <c r="A32" s="5"/>
      <c r="B32" s="5"/>
      <c r="C32" s="5"/>
      <c r="D32" s="5"/>
      <c r="E32" s="5"/>
      <c r="F32" s="17"/>
      <c r="G32" s="17"/>
      <c r="H32" s="17"/>
      <c r="I32" s="18"/>
      <c r="J32" s="5"/>
    </row>
    <row r="33" spans="1:10" x14ac:dyDescent="0.35">
      <c r="A33" s="5"/>
      <c r="B33" s="5"/>
      <c r="C33" s="5"/>
      <c r="D33" s="5"/>
      <c r="E33" s="5"/>
      <c r="F33" s="17"/>
      <c r="G33" s="17"/>
      <c r="H33" s="17"/>
      <c r="I33" s="18"/>
      <c r="J33" s="5"/>
    </row>
    <row r="34" spans="1:10" x14ac:dyDescent="0.35">
      <c r="A34" s="5"/>
      <c r="B34" s="5"/>
      <c r="C34" s="5"/>
      <c r="D34" s="5"/>
      <c r="E34" s="5"/>
      <c r="F34" s="17"/>
      <c r="G34" s="17"/>
      <c r="H34" s="17"/>
      <c r="I34" s="18"/>
      <c r="J3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E154-FED8-4EFF-B7A1-AF1F1AE57CEC}">
  <dimension ref="A1:C21"/>
  <sheetViews>
    <sheetView zoomScale="76" workbookViewId="0">
      <selection activeCell="E21" sqref="E21"/>
    </sheetView>
  </sheetViews>
  <sheetFormatPr defaultRowHeight="14.5" x14ac:dyDescent="0.35"/>
  <cols>
    <col min="1" max="1" width="31" customWidth="1"/>
    <col min="2" max="2" width="18.26953125" customWidth="1"/>
    <col min="3" max="3" width="16.54296875" customWidth="1"/>
  </cols>
  <sheetData>
    <row r="1" spans="1:3" x14ac:dyDescent="0.35">
      <c r="A1" s="10" t="s">
        <v>25</v>
      </c>
      <c r="B1" s="10" t="s">
        <v>42</v>
      </c>
      <c r="C1" s="10" t="s">
        <v>43</v>
      </c>
    </row>
    <row r="2" spans="1:3" x14ac:dyDescent="0.35">
      <c r="A2" s="8" t="s">
        <v>41</v>
      </c>
      <c r="B2" s="13">
        <f>Decomposition!B8+Decomposition!C8+Decomposition!D8</f>
        <v>20.922080109999996</v>
      </c>
      <c r="C2" s="15">
        <f>Decomposition!E8+Decomposition!F8+Decomposition!G8</f>
        <v>34.378061249999966</v>
      </c>
    </row>
    <row r="3" spans="1:3" x14ac:dyDescent="0.35">
      <c r="A3" s="8" t="s">
        <v>68</v>
      </c>
      <c r="B3" s="13">
        <f>means_table_2012!D8-means_table_2022!D8</f>
        <v>20.923200000000008</v>
      </c>
      <c r="C3" s="15">
        <f>means_table_2012!D15-means_table_2022!D15</f>
        <v>34.382900000000063</v>
      </c>
    </row>
    <row r="4" spans="1:3" x14ac:dyDescent="0.35">
      <c r="A4" t="s">
        <v>63</v>
      </c>
      <c r="B4" s="13">
        <f>SQRT(means_table_2012!E8^2 + means_table_2022!E8^2)</f>
        <v>1.7517974340659368</v>
      </c>
      <c r="C4" s="15">
        <f>SQRT(means_table_2012!E15^2 + means_table_2022!E15^2)</f>
        <v>1.415575490745725</v>
      </c>
    </row>
    <row r="5" spans="1:3" x14ac:dyDescent="0.35">
      <c r="A5" t="s">
        <v>64</v>
      </c>
      <c r="B5" s="13">
        <f>SQRT(means_table_2012!E8^2 + means_table_2022!E8^2 + 3.58^2)</f>
        <v>3.9856234455853956</v>
      </c>
      <c r="C5" s="15">
        <f>SQRT(means_table_2012!E15^2 + means_table_2022!E15^2 + 3.58^2)</f>
        <v>3.8497082967414555</v>
      </c>
    </row>
    <row r="6" spans="1:3" x14ac:dyDescent="0.35">
      <c r="A6" t="s">
        <v>65</v>
      </c>
      <c r="B6" s="13">
        <f>B2/B5</f>
        <v>5.2493870521496362</v>
      </c>
      <c r="C6" s="15">
        <f>C2/C5</f>
        <v>8.9300431617374514</v>
      </c>
    </row>
    <row r="7" spans="1:3" x14ac:dyDescent="0.35">
      <c r="A7" t="s">
        <v>66</v>
      </c>
      <c r="B7" s="13">
        <f>B2-1.96*B5</f>
        <v>13.11025815665262</v>
      </c>
      <c r="C7" s="15">
        <f>C2-1.96*C5</f>
        <v>26.832632988386713</v>
      </c>
    </row>
    <row r="8" spans="1:3" x14ac:dyDescent="0.35">
      <c r="A8" t="s">
        <v>67</v>
      </c>
      <c r="B8" s="13">
        <f>B2+1.96*B5</f>
        <v>28.733902063347372</v>
      </c>
      <c r="C8" s="15">
        <f>C2+1.96*C5</f>
        <v>41.923489511613219</v>
      </c>
    </row>
    <row r="9" spans="1:3" x14ac:dyDescent="0.35">
      <c r="A9" s="8" t="s">
        <v>26</v>
      </c>
      <c r="B9" s="13">
        <f>Decomposition!B8</f>
        <v>13.960540089999999</v>
      </c>
      <c r="C9" s="15">
        <f>Decomposition!E8</f>
        <v>7.2748752799999998</v>
      </c>
    </row>
    <row r="10" spans="1:3" x14ac:dyDescent="0.35">
      <c r="A10" s="8" t="s">
        <v>27</v>
      </c>
      <c r="B10" s="13">
        <f>Decomposition!C8</f>
        <v>-2.5868038400000031</v>
      </c>
      <c r="C10" s="15">
        <f>Decomposition!F8</f>
        <v>26.166339199999964</v>
      </c>
    </row>
    <row r="11" spans="1:3" x14ac:dyDescent="0.35">
      <c r="A11" s="8" t="s">
        <v>28</v>
      </c>
      <c r="B11" s="13">
        <f>Decomposition!D8</f>
        <v>9.548343860000001</v>
      </c>
      <c r="C11" s="15">
        <f>Decomposition!G8</f>
        <v>0.93684676999999961</v>
      </c>
    </row>
    <row r="12" spans="1:3" x14ac:dyDescent="0.35">
      <c r="A12" s="8" t="s">
        <v>29</v>
      </c>
      <c r="B12" s="13">
        <f>SUM(B9:B11)</f>
        <v>20.922080109999996</v>
      </c>
      <c r="C12" s="15">
        <f>SUM(C9:C11)</f>
        <v>34.378061249999966</v>
      </c>
    </row>
    <row r="13" spans="1:3" x14ac:dyDescent="0.35">
      <c r="A13" s="8"/>
      <c r="B13" s="8"/>
    </row>
    <row r="14" spans="1:3" ht="29" x14ac:dyDescent="0.35">
      <c r="A14" s="12" t="s">
        <v>30</v>
      </c>
      <c r="B14" s="12" t="s">
        <v>12</v>
      </c>
      <c r="C14" s="12" t="s">
        <v>10</v>
      </c>
    </row>
    <row r="15" spans="1:3" x14ac:dyDescent="0.35">
      <c r="A15" s="8" t="s">
        <v>11</v>
      </c>
      <c r="B15" s="8">
        <f>Decomposition!B2</f>
        <v>0</v>
      </c>
      <c r="C15">
        <f>Decomposition!E2</f>
        <v>0</v>
      </c>
    </row>
    <row r="16" spans="1:3" x14ac:dyDescent="0.35">
      <c r="A16" s="8" t="s">
        <v>1</v>
      </c>
      <c r="B16" s="13">
        <f>Decomposition!B3</f>
        <v>-3.7893872000000002</v>
      </c>
      <c r="C16" s="15">
        <f>Decomposition!E3</f>
        <v>0.58477606000000004</v>
      </c>
    </row>
    <row r="17" spans="1:3" x14ac:dyDescent="0.35">
      <c r="A17" s="8" t="s">
        <v>8</v>
      </c>
      <c r="B17" s="13">
        <f>Decomposition!B4</f>
        <v>1.2415308800000002</v>
      </c>
      <c r="C17" s="15">
        <f>Decomposition!E4</f>
        <v>2.0521918899999996</v>
      </c>
    </row>
    <row r="18" spans="1:3" x14ac:dyDescent="0.35">
      <c r="A18" s="8" t="s">
        <v>2</v>
      </c>
      <c r="B18" s="13">
        <f>Decomposition!B5</f>
        <v>13.90718322</v>
      </c>
      <c r="C18" s="15">
        <f>Decomposition!E5</f>
        <v>3.4478407500000001</v>
      </c>
    </row>
    <row r="19" spans="1:3" x14ac:dyDescent="0.35">
      <c r="A19" s="8" t="s">
        <v>3</v>
      </c>
      <c r="B19" s="13">
        <f>Decomposition!B6</f>
        <v>2.09301264</v>
      </c>
      <c r="C19" s="15">
        <f>Decomposition!E6</f>
        <v>0.50232321999999974</v>
      </c>
    </row>
    <row r="20" spans="1:3" x14ac:dyDescent="0.35">
      <c r="A20" s="8" t="s">
        <v>4</v>
      </c>
      <c r="B20" s="13">
        <f>Decomposition!B7</f>
        <v>0.50820055000000008</v>
      </c>
      <c r="C20" s="15">
        <f>Decomposition!E7</f>
        <v>0.68774335999999991</v>
      </c>
    </row>
    <row r="21" spans="1:3" x14ac:dyDescent="0.35">
      <c r="A21" s="10"/>
      <c r="B21" s="16">
        <f>SUM(B15:B20)</f>
        <v>13.960540089999999</v>
      </c>
      <c r="C21" s="16">
        <f>SUM(C15:C20)</f>
        <v>7.2748752799999998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431B-2C09-4EA6-B58F-2C00CD6E2050}">
  <dimension ref="A1:H15"/>
  <sheetViews>
    <sheetView workbookViewId="0">
      <selection activeCell="J15" sqref="J15"/>
    </sheetView>
  </sheetViews>
  <sheetFormatPr defaultRowHeight="14.5" x14ac:dyDescent="0.35"/>
  <cols>
    <col min="1" max="1" width="5.08984375" bestFit="1" customWidth="1"/>
    <col min="2" max="2" width="6.90625" bestFit="1" customWidth="1"/>
    <col min="3" max="3" width="13.1796875" bestFit="1" customWidth="1"/>
    <col min="4" max="4" width="9.36328125" bestFit="1" customWidth="1"/>
    <col min="5" max="5" width="7.36328125" bestFit="1" customWidth="1"/>
    <col min="6" max="6" width="9.36328125" bestFit="1" customWidth="1"/>
    <col min="7" max="7" width="9.90625" customWidth="1"/>
    <col min="8" max="8" width="9.1796875" bestFit="1" customWidth="1"/>
  </cols>
  <sheetData>
    <row r="1" spans="1:8" s="1" customFormat="1" x14ac:dyDescent="0.35">
      <c r="A1" s="2" t="s">
        <v>18</v>
      </c>
      <c r="B1" s="2" t="s">
        <v>17</v>
      </c>
      <c r="C1" s="2" t="s">
        <v>0</v>
      </c>
      <c r="D1" s="2" t="s">
        <v>45</v>
      </c>
      <c r="E1" s="2" t="s">
        <v>15</v>
      </c>
      <c r="F1" s="2" t="s">
        <v>44</v>
      </c>
      <c r="G1" s="2" t="s">
        <v>14</v>
      </c>
      <c r="H1" s="2" t="s">
        <v>13</v>
      </c>
    </row>
    <row r="2" spans="1:8" x14ac:dyDescent="0.35">
      <c r="A2">
        <v>2012</v>
      </c>
      <c r="B2" t="s">
        <v>12</v>
      </c>
      <c r="C2" t="s">
        <v>1</v>
      </c>
      <c r="D2" s="14">
        <v>0.33119999999999999</v>
      </c>
      <c r="E2" s="14">
        <v>9.7000000000000003E-3</v>
      </c>
      <c r="F2" s="15">
        <v>34.279000000000003</v>
      </c>
      <c r="G2" s="20">
        <v>1.63E-257</v>
      </c>
      <c r="H2" t="s">
        <v>9</v>
      </c>
    </row>
    <row r="3" spans="1:8" x14ac:dyDescent="0.35">
      <c r="A3">
        <v>2012</v>
      </c>
      <c r="B3" t="s">
        <v>12</v>
      </c>
      <c r="C3" t="s">
        <v>2</v>
      </c>
      <c r="D3" s="14">
        <v>-2.6599999999999999E-2</v>
      </c>
      <c r="E3" s="14">
        <v>1.54E-2</v>
      </c>
      <c r="F3" s="15">
        <v>-1.7310000000000001</v>
      </c>
      <c r="G3" s="20">
        <v>8.3400000000000002E-2</v>
      </c>
    </row>
    <row r="4" spans="1:8" x14ac:dyDescent="0.35">
      <c r="A4">
        <v>2012</v>
      </c>
      <c r="B4" t="s">
        <v>12</v>
      </c>
      <c r="C4" t="s">
        <v>3</v>
      </c>
      <c r="D4" s="14">
        <v>1.8100000000000002E-2</v>
      </c>
      <c r="E4" s="14">
        <v>1.37E-2</v>
      </c>
      <c r="F4" s="15">
        <v>1.3169999999999999</v>
      </c>
      <c r="G4" s="20">
        <v>0.188</v>
      </c>
    </row>
    <row r="5" spans="1:8" x14ac:dyDescent="0.35">
      <c r="A5">
        <v>2012</v>
      </c>
      <c r="B5" t="s">
        <v>12</v>
      </c>
      <c r="C5" t="s">
        <v>4</v>
      </c>
      <c r="D5" s="14">
        <v>-3.7199999999999997E-2</v>
      </c>
      <c r="E5" s="14">
        <v>1.5100000000000001E-2</v>
      </c>
      <c r="F5" s="15">
        <v>-2.4630000000000001</v>
      </c>
      <c r="G5" s="20">
        <v>1.38E-2</v>
      </c>
      <c r="H5" t="s">
        <v>9</v>
      </c>
    </row>
    <row r="6" spans="1:8" x14ac:dyDescent="0.35">
      <c r="A6">
        <v>2012</v>
      </c>
      <c r="B6" t="s">
        <v>12</v>
      </c>
      <c r="C6" t="s">
        <v>7</v>
      </c>
      <c r="D6" s="14">
        <v>0.92200000000000004</v>
      </c>
      <c r="E6" s="14">
        <v>3.3E-3</v>
      </c>
      <c r="F6" s="15">
        <v>282.74</v>
      </c>
      <c r="G6" s="20">
        <v>0</v>
      </c>
      <c r="H6" t="s">
        <v>9</v>
      </c>
    </row>
    <row r="7" spans="1:8" x14ac:dyDescent="0.35">
      <c r="A7">
        <v>2012</v>
      </c>
      <c r="B7" t="s">
        <v>12</v>
      </c>
      <c r="C7" t="s">
        <v>8</v>
      </c>
      <c r="D7" s="14">
        <v>7.8E-2</v>
      </c>
      <c r="E7" s="14">
        <v>3.3E-3</v>
      </c>
      <c r="F7" s="15">
        <v>23.917000000000002</v>
      </c>
      <c r="G7" s="20">
        <v>2.0499999999999999E-126</v>
      </c>
      <c r="H7" t="s">
        <v>9</v>
      </c>
    </row>
    <row r="8" spans="1:8" x14ac:dyDescent="0.35">
      <c r="A8">
        <v>2012</v>
      </c>
      <c r="B8" t="s">
        <v>12</v>
      </c>
      <c r="C8" t="s">
        <v>6</v>
      </c>
      <c r="D8" s="14">
        <v>489.37310000000002</v>
      </c>
      <c r="E8" s="14">
        <v>1.3855</v>
      </c>
      <c r="F8" s="15">
        <v>353.202</v>
      </c>
      <c r="G8" s="20">
        <v>0</v>
      </c>
      <c r="H8" t="s">
        <v>9</v>
      </c>
    </row>
    <row r="9" spans="1:8" x14ac:dyDescent="0.35">
      <c r="A9">
        <v>2012</v>
      </c>
      <c r="B9" t="s">
        <v>10</v>
      </c>
      <c r="C9" t="s">
        <v>1</v>
      </c>
      <c r="D9" s="14">
        <v>0.28289999999999998</v>
      </c>
      <c r="E9" s="14">
        <v>7.7999999999999996E-3</v>
      </c>
      <c r="F9" s="15">
        <v>36.28</v>
      </c>
      <c r="G9" s="20">
        <v>3.3499999999999998E-288</v>
      </c>
      <c r="H9" t="s">
        <v>9</v>
      </c>
    </row>
    <row r="10" spans="1:8" x14ac:dyDescent="0.35">
      <c r="A10">
        <v>2012</v>
      </c>
      <c r="B10" t="s">
        <v>10</v>
      </c>
      <c r="C10" t="s">
        <v>2</v>
      </c>
      <c r="D10" s="14">
        <v>-0.26829999999999998</v>
      </c>
      <c r="E10" s="14">
        <v>1.03E-2</v>
      </c>
      <c r="F10" s="15">
        <v>-26.038</v>
      </c>
      <c r="G10" s="20">
        <v>1.8600000000000001E-149</v>
      </c>
      <c r="H10" t="s">
        <v>9</v>
      </c>
    </row>
    <row r="11" spans="1:8" x14ac:dyDescent="0.35">
      <c r="A11">
        <v>2012</v>
      </c>
      <c r="B11" t="s">
        <v>10</v>
      </c>
      <c r="C11" t="s">
        <v>3</v>
      </c>
      <c r="D11" s="14">
        <v>-0.3049</v>
      </c>
      <c r="E11" s="14">
        <v>1.04E-2</v>
      </c>
      <c r="F11" s="15">
        <v>-29.352</v>
      </c>
      <c r="G11" s="20">
        <v>2.2499999999999998E-189</v>
      </c>
      <c r="H11" t="s">
        <v>9</v>
      </c>
    </row>
    <row r="12" spans="1:8" x14ac:dyDescent="0.35">
      <c r="A12">
        <v>2012</v>
      </c>
      <c r="B12" t="s">
        <v>10</v>
      </c>
      <c r="C12" t="s">
        <v>4</v>
      </c>
      <c r="D12" s="14">
        <v>0.15679999999999999</v>
      </c>
      <c r="E12" s="14">
        <v>1.24E-2</v>
      </c>
      <c r="F12" s="15">
        <v>12.63</v>
      </c>
      <c r="G12" s="20">
        <v>1.44E-36</v>
      </c>
      <c r="H12" t="s">
        <v>9</v>
      </c>
    </row>
    <row r="13" spans="1:8" x14ac:dyDescent="0.35">
      <c r="A13">
        <v>2012</v>
      </c>
      <c r="B13" t="s">
        <v>10</v>
      </c>
      <c r="C13" t="s">
        <v>7</v>
      </c>
      <c r="D13" s="14">
        <v>0.96250000000000002</v>
      </c>
      <c r="E13" s="14">
        <v>1.1999999999999999E-3</v>
      </c>
      <c r="F13" s="15">
        <v>806.25400000000002</v>
      </c>
      <c r="G13" s="20">
        <v>0</v>
      </c>
      <c r="H13" t="s">
        <v>9</v>
      </c>
    </row>
    <row r="14" spans="1:8" x14ac:dyDescent="0.35">
      <c r="A14">
        <v>2012</v>
      </c>
      <c r="B14" t="s">
        <v>10</v>
      </c>
      <c r="C14" t="s">
        <v>8</v>
      </c>
      <c r="D14" s="14">
        <v>3.7499999999999999E-2</v>
      </c>
      <c r="E14" s="14">
        <v>1.1999999999999999E-3</v>
      </c>
      <c r="F14" s="15">
        <v>31.408999999999999</v>
      </c>
      <c r="G14" s="20">
        <v>1.5400000000000002E-216</v>
      </c>
      <c r="H14" t="s">
        <v>9</v>
      </c>
    </row>
    <row r="15" spans="1:8" x14ac:dyDescent="0.35">
      <c r="A15">
        <v>2012</v>
      </c>
      <c r="B15" t="s">
        <v>10</v>
      </c>
      <c r="C15" t="s">
        <v>6</v>
      </c>
      <c r="D15" s="14">
        <v>518.75030000000004</v>
      </c>
      <c r="E15" s="14">
        <v>1.0214000000000001</v>
      </c>
      <c r="F15" s="15">
        <v>507.88499999999999</v>
      </c>
      <c r="G15" s="20">
        <v>0</v>
      </c>
      <c r="H15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62C1-D189-442F-9930-07D1AE853AC4}">
  <dimension ref="A1:H15"/>
  <sheetViews>
    <sheetView workbookViewId="0">
      <selection activeCell="K16" sqref="K16"/>
    </sheetView>
  </sheetViews>
  <sheetFormatPr defaultRowHeight="14.5" x14ac:dyDescent="0.35"/>
  <cols>
    <col min="1" max="1" width="5.08984375" bestFit="1" customWidth="1"/>
    <col min="2" max="2" width="6.90625" bestFit="1" customWidth="1"/>
    <col min="3" max="3" width="13.1796875" bestFit="1" customWidth="1"/>
    <col min="4" max="4" width="8.81640625" bestFit="1" customWidth="1"/>
    <col min="5" max="5" width="6.81640625" bestFit="1" customWidth="1"/>
    <col min="6" max="6" width="7.81640625" bestFit="1" customWidth="1"/>
    <col min="7" max="7" width="11.26953125" customWidth="1"/>
    <col min="8" max="8" width="9.1796875" bestFit="1" customWidth="1"/>
  </cols>
  <sheetData>
    <row r="1" spans="1:8" x14ac:dyDescent="0.35">
      <c r="A1" s="2" t="s">
        <v>18</v>
      </c>
      <c r="B1" s="2" t="s">
        <v>17</v>
      </c>
      <c r="C1" s="2" t="s">
        <v>0</v>
      </c>
      <c r="D1" s="2" t="s">
        <v>45</v>
      </c>
      <c r="E1" s="2" t="s">
        <v>15</v>
      </c>
      <c r="F1" s="2" t="s">
        <v>44</v>
      </c>
      <c r="G1" s="2" t="s">
        <v>14</v>
      </c>
      <c r="H1" s="2" t="s">
        <v>13</v>
      </c>
    </row>
    <row r="2" spans="1:8" x14ac:dyDescent="0.35">
      <c r="A2">
        <v>2022</v>
      </c>
      <c r="B2" t="s">
        <v>12</v>
      </c>
      <c r="C2" t="s">
        <v>1</v>
      </c>
      <c r="D2" s="14">
        <v>0.51200000000000001</v>
      </c>
      <c r="E2" s="14">
        <v>9.7999999999999997E-3</v>
      </c>
      <c r="F2" s="15">
        <v>52.19</v>
      </c>
      <c r="G2" s="20">
        <v>0</v>
      </c>
      <c r="H2" t="s">
        <v>9</v>
      </c>
    </row>
    <row r="3" spans="1:8" x14ac:dyDescent="0.35">
      <c r="A3">
        <v>2022</v>
      </c>
      <c r="B3" t="s">
        <v>12</v>
      </c>
      <c r="C3" t="s">
        <v>2</v>
      </c>
      <c r="D3" s="14">
        <v>-0.55230000000000001</v>
      </c>
      <c r="E3" s="14">
        <v>1.32E-2</v>
      </c>
      <c r="F3" s="15">
        <v>-41.985999999999997</v>
      </c>
      <c r="G3" s="20">
        <v>0</v>
      </c>
      <c r="H3" t="s">
        <v>9</v>
      </c>
    </row>
    <row r="4" spans="1:8" x14ac:dyDescent="0.35">
      <c r="A4">
        <v>2022</v>
      </c>
      <c r="B4" t="s">
        <v>12</v>
      </c>
      <c r="C4" t="s">
        <v>3</v>
      </c>
      <c r="D4" s="14">
        <v>0.2203</v>
      </c>
      <c r="E4" s="14">
        <v>1.23E-2</v>
      </c>
      <c r="F4" s="15">
        <v>17.878</v>
      </c>
      <c r="G4" s="20">
        <v>1.75E-71</v>
      </c>
      <c r="H4" t="s">
        <v>9</v>
      </c>
    </row>
    <row r="5" spans="1:8" x14ac:dyDescent="0.35">
      <c r="A5">
        <v>2022</v>
      </c>
      <c r="B5" t="s">
        <v>12</v>
      </c>
      <c r="C5" t="s">
        <v>4</v>
      </c>
      <c r="D5" s="14">
        <v>-0.18410000000000001</v>
      </c>
      <c r="E5" s="14">
        <v>1.17E-2</v>
      </c>
      <c r="F5" s="15">
        <v>-15.682</v>
      </c>
      <c r="G5" s="20">
        <v>2E-55</v>
      </c>
      <c r="H5" t="s">
        <v>9</v>
      </c>
    </row>
    <row r="6" spans="1:8" x14ac:dyDescent="0.35">
      <c r="A6">
        <v>2022</v>
      </c>
      <c r="B6" t="s">
        <v>12</v>
      </c>
      <c r="C6" t="s">
        <v>7</v>
      </c>
      <c r="D6" s="14">
        <v>0.85919999999999996</v>
      </c>
      <c r="E6" s="14">
        <v>3.8E-3</v>
      </c>
      <c r="F6" s="15">
        <v>228.751</v>
      </c>
      <c r="G6" s="20">
        <v>0</v>
      </c>
      <c r="H6" t="s">
        <v>9</v>
      </c>
    </row>
    <row r="7" spans="1:8" x14ac:dyDescent="0.35">
      <c r="A7">
        <v>2022</v>
      </c>
      <c r="B7" t="s">
        <v>12</v>
      </c>
      <c r="C7" t="s">
        <v>8</v>
      </c>
      <c r="D7" s="14">
        <v>0.14080000000000001</v>
      </c>
      <c r="E7" s="14">
        <v>3.8E-3</v>
      </c>
      <c r="F7" s="15">
        <v>37.478999999999999</v>
      </c>
      <c r="G7" s="20">
        <v>2.0400000000000001E-307</v>
      </c>
      <c r="H7" t="s">
        <v>9</v>
      </c>
    </row>
    <row r="8" spans="1:8" x14ac:dyDescent="0.35">
      <c r="A8">
        <v>2022</v>
      </c>
      <c r="B8" t="s">
        <v>12</v>
      </c>
      <c r="C8" t="s">
        <v>6</v>
      </c>
      <c r="D8" s="14">
        <v>468.44990000000001</v>
      </c>
      <c r="E8" s="14">
        <v>1.0720000000000001</v>
      </c>
      <c r="F8" s="15">
        <v>436.99599999999998</v>
      </c>
      <c r="G8" s="20">
        <v>0</v>
      </c>
      <c r="H8" t="s">
        <v>9</v>
      </c>
    </row>
    <row r="9" spans="1:8" x14ac:dyDescent="0.35">
      <c r="A9">
        <v>2022</v>
      </c>
      <c r="B9" t="s">
        <v>10</v>
      </c>
      <c r="C9" t="s">
        <v>1</v>
      </c>
      <c r="D9" s="14">
        <v>0.25869999999999999</v>
      </c>
      <c r="E9" s="14">
        <v>7.0000000000000001E-3</v>
      </c>
      <c r="F9" s="15">
        <v>36.755000000000003</v>
      </c>
      <c r="G9" s="20">
        <v>9.6499999999999995E-296</v>
      </c>
      <c r="H9" t="s">
        <v>9</v>
      </c>
    </row>
    <row r="10" spans="1:8" x14ac:dyDescent="0.35">
      <c r="A10">
        <v>2022</v>
      </c>
      <c r="B10" t="s">
        <v>10</v>
      </c>
      <c r="C10" t="s">
        <v>2</v>
      </c>
      <c r="D10" s="14">
        <v>-0.39279999999999998</v>
      </c>
      <c r="E10" s="14">
        <v>1.06E-2</v>
      </c>
      <c r="F10" s="15">
        <v>-36.902999999999999</v>
      </c>
      <c r="G10" s="20">
        <v>4.2000000000000001E-298</v>
      </c>
      <c r="H10" t="s">
        <v>9</v>
      </c>
    </row>
    <row r="11" spans="1:8" x14ac:dyDescent="0.35">
      <c r="A11">
        <v>2022</v>
      </c>
      <c r="B11" t="s">
        <v>10</v>
      </c>
      <c r="C11" t="s">
        <v>3</v>
      </c>
      <c r="D11" s="14">
        <v>-0.25380000000000003</v>
      </c>
      <c r="E11" s="14">
        <v>9.7000000000000003E-3</v>
      </c>
      <c r="F11" s="15">
        <v>-26.146999999999998</v>
      </c>
      <c r="G11" s="20">
        <v>1.08E-150</v>
      </c>
      <c r="H11" t="s">
        <v>9</v>
      </c>
    </row>
    <row r="12" spans="1:8" x14ac:dyDescent="0.35">
      <c r="A12">
        <v>2022</v>
      </c>
      <c r="B12" t="s">
        <v>10</v>
      </c>
      <c r="C12" t="s">
        <v>4</v>
      </c>
      <c r="D12" s="14">
        <v>-8.0000000000000002E-3</v>
      </c>
      <c r="E12" s="14">
        <v>9.7999999999999997E-3</v>
      </c>
      <c r="F12" s="15">
        <v>-0.81699999999999995</v>
      </c>
      <c r="G12" s="20">
        <v>0.41399999999999998</v>
      </c>
    </row>
    <row r="13" spans="1:8" x14ac:dyDescent="0.35">
      <c r="A13">
        <v>2022</v>
      </c>
      <c r="B13" t="s">
        <v>10</v>
      </c>
      <c r="C13" t="s">
        <v>7</v>
      </c>
      <c r="D13" s="14">
        <v>0.91979999999999995</v>
      </c>
      <c r="E13" s="14">
        <v>1.5E-3</v>
      </c>
      <c r="F13" s="15">
        <v>598.81100000000004</v>
      </c>
      <c r="G13" s="20">
        <v>0</v>
      </c>
      <c r="H13" t="s">
        <v>9</v>
      </c>
    </row>
    <row r="14" spans="1:8" x14ac:dyDescent="0.35">
      <c r="A14">
        <v>2022</v>
      </c>
      <c r="B14" t="s">
        <v>10</v>
      </c>
      <c r="C14" t="s">
        <v>8</v>
      </c>
      <c r="D14" s="14">
        <v>8.0199999999999994E-2</v>
      </c>
      <c r="E14" s="14">
        <v>1.5E-3</v>
      </c>
      <c r="F14" s="15">
        <v>52.207000000000001</v>
      </c>
      <c r="G14" s="20">
        <v>0</v>
      </c>
      <c r="H14" t="s">
        <v>9</v>
      </c>
    </row>
    <row r="15" spans="1:8" x14ac:dyDescent="0.35">
      <c r="A15">
        <v>2022</v>
      </c>
      <c r="B15" t="s">
        <v>10</v>
      </c>
      <c r="C15" t="s">
        <v>6</v>
      </c>
      <c r="D15" s="14">
        <v>484.36739999999998</v>
      </c>
      <c r="E15" s="14">
        <v>0.98009999999999997</v>
      </c>
      <c r="F15" s="15">
        <v>494.17899999999997</v>
      </c>
      <c r="G15" s="20">
        <v>0</v>
      </c>
      <c r="H15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590A-2DF7-4F7A-BF41-3E29AFD7B277}">
  <dimension ref="A1:H14"/>
  <sheetViews>
    <sheetView workbookViewId="0">
      <selection activeCell="A8" sqref="A8:H13"/>
    </sheetView>
  </sheetViews>
  <sheetFormatPr defaultRowHeight="14.5" x14ac:dyDescent="0.35"/>
  <cols>
    <col min="1" max="1" width="5.26953125" bestFit="1" customWidth="1"/>
    <col min="2" max="2" width="7.1796875" bestFit="1" customWidth="1"/>
    <col min="3" max="3" width="11.26953125" bestFit="1" customWidth="1"/>
    <col min="4" max="4" width="9.90625" bestFit="1" customWidth="1"/>
    <col min="5" max="5" width="5.36328125" bestFit="1" customWidth="1"/>
    <col min="6" max="6" width="7.36328125" bestFit="1" customWidth="1"/>
    <col min="7" max="7" width="8" bestFit="1" customWidth="1"/>
    <col min="8" max="8" width="9.7265625" bestFit="1" customWidth="1"/>
  </cols>
  <sheetData>
    <row r="1" spans="1:8" x14ac:dyDescent="0.35">
      <c r="A1" s="4" t="s">
        <v>18</v>
      </c>
      <c r="B1" s="4" t="s">
        <v>17</v>
      </c>
      <c r="C1" s="4" t="s">
        <v>0</v>
      </c>
      <c r="D1" s="4" t="s">
        <v>16</v>
      </c>
      <c r="E1" s="4" t="s">
        <v>15</v>
      </c>
      <c r="F1" s="4" t="s">
        <v>44</v>
      </c>
      <c r="G1" s="4" t="s">
        <v>14</v>
      </c>
      <c r="H1" s="4" t="s">
        <v>13</v>
      </c>
    </row>
    <row r="2" spans="1:8" x14ac:dyDescent="0.35">
      <c r="A2" s="5">
        <v>2012</v>
      </c>
      <c r="B2" s="5" t="s">
        <v>12</v>
      </c>
      <c r="C2" s="5" t="s">
        <v>11</v>
      </c>
      <c r="D2" s="17">
        <v>489.83819999999997</v>
      </c>
      <c r="E2" s="17">
        <v>1.2426999999999999</v>
      </c>
      <c r="F2" s="17">
        <v>394.18400000000003</v>
      </c>
      <c r="G2" s="18">
        <v>0</v>
      </c>
      <c r="H2" s="5" t="s">
        <v>9</v>
      </c>
    </row>
    <row r="3" spans="1:8" x14ac:dyDescent="0.35">
      <c r="A3" s="5">
        <v>2012</v>
      </c>
      <c r="B3" s="5" t="s">
        <v>12</v>
      </c>
      <c r="C3" s="5" t="s">
        <v>1</v>
      </c>
      <c r="D3" s="17">
        <v>11.508800000000001</v>
      </c>
      <c r="E3" s="17">
        <v>1.2866</v>
      </c>
      <c r="F3" s="17">
        <v>8.9450000000000003</v>
      </c>
      <c r="G3" s="18">
        <v>0</v>
      </c>
      <c r="H3" s="5" t="s">
        <v>9</v>
      </c>
    </row>
    <row r="4" spans="1:8" x14ac:dyDescent="0.35">
      <c r="A4" s="5">
        <v>2012</v>
      </c>
      <c r="B4" s="5" t="s">
        <v>12</v>
      </c>
      <c r="C4" s="5" t="s">
        <v>8</v>
      </c>
      <c r="D4" s="17">
        <v>-36.189</v>
      </c>
      <c r="E4" s="17">
        <v>3.3673000000000002</v>
      </c>
      <c r="F4" s="17">
        <v>-10.747</v>
      </c>
      <c r="G4" s="18">
        <v>0</v>
      </c>
      <c r="H4" s="5" t="s">
        <v>9</v>
      </c>
    </row>
    <row r="5" spans="1:8" x14ac:dyDescent="0.35">
      <c r="A5" s="5">
        <v>2012</v>
      </c>
      <c r="B5" s="5" t="s">
        <v>12</v>
      </c>
      <c r="C5" s="5" t="s">
        <v>2</v>
      </c>
      <c r="D5" s="17">
        <v>34.6006</v>
      </c>
      <c r="E5" s="17">
        <v>1.5484</v>
      </c>
      <c r="F5" s="17">
        <v>22.346</v>
      </c>
      <c r="G5" s="18">
        <v>0</v>
      </c>
      <c r="H5" s="5" t="s">
        <v>9</v>
      </c>
    </row>
    <row r="6" spans="1:8" x14ac:dyDescent="0.35">
      <c r="A6" s="5">
        <v>2012</v>
      </c>
      <c r="B6" s="5" t="s">
        <v>12</v>
      </c>
      <c r="C6" s="5" t="s">
        <v>3</v>
      </c>
      <c r="D6" s="17">
        <v>-23.207000000000001</v>
      </c>
      <c r="E6" s="17">
        <v>1.2912999999999999</v>
      </c>
      <c r="F6" s="17">
        <v>-17.971</v>
      </c>
      <c r="G6" s="18">
        <v>0</v>
      </c>
      <c r="H6" s="5" t="s">
        <v>9</v>
      </c>
    </row>
    <row r="7" spans="1:8" x14ac:dyDescent="0.35">
      <c r="A7" s="5">
        <v>2012</v>
      </c>
      <c r="B7" s="5" t="s">
        <v>12</v>
      </c>
      <c r="C7" s="5" t="s">
        <v>4</v>
      </c>
      <c r="D7" s="17">
        <v>2.9613</v>
      </c>
      <c r="E7" s="17">
        <v>1.4731000000000001</v>
      </c>
      <c r="F7" s="17">
        <v>2.0099999999999998</v>
      </c>
      <c r="G7" s="7">
        <v>4.4400000000000002E-2</v>
      </c>
      <c r="H7" s="5" t="s">
        <v>9</v>
      </c>
    </row>
    <row r="8" spans="1:8" x14ac:dyDescent="0.35">
      <c r="A8" s="5">
        <v>2012</v>
      </c>
      <c r="B8" s="5" t="s">
        <v>10</v>
      </c>
      <c r="C8" s="5" t="s">
        <v>11</v>
      </c>
      <c r="D8" s="17">
        <v>519.26409999999998</v>
      </c>
      <c r="E8" s="17">
        <v>1.0596000000000001</v>
      </c>
      <c r="F8" s="17">
        <v>490.03500000000003</v>
      </c>
      <c r="G8" s="18">
        <v>0</v>
      </c>
      <c r="H8" s="5" t="s">
        <v>9</v>
      </c>
    </row>
    <row r="9" spans="1:8" x14ac:dyDescent="0.35">
      <c r="A9" s="5">
        <v>2012</v>
      </c>
      <c r="B9" s="5" t="s">
        <v>10</v>
      </c>
      <c r="C9" s="5" t="s">
        <v>1</v>
      </c>
      <c r="D9" s="17">
        <v>18.606300000000001</v>
      </c>
      <c r="E9" s="17">
        <v>0.90820000000000001</v>
      </c>
      <c r="F9" s="17">
        <v>20.486999999999998</v>
      </c>
      <c r="G9" s="18">
        <v>0</v>
      </c>
      <c r="H9" s="5" t="s">
        <v>9</v>
      </c>
    </row>
    <row r="10" spans="1:8" x14ac:dyDescent="0.35">
      <c r="A10" s="5">
        <v>2012</v>
      </c>
      <c r="B10" s="5" t="s">
        <v>10</v>
      </c>
      <c r="C10" s="5" t="s">
        <v>8</v>
      </c>
      <c r="D10" s="17">
        <v>-66.232699999999994</v>
      </c>
      <c r="E10" s="17">
        <v>2.9405000000000001</v>
      </c>
      <c r="F10" s="17">
        <v>-22.524000000000001</v>
      </c>
      <c r="G10" s="18">
        <v>0</v>
      </c>
      <c r="H10" s="5" t="s">
        <v>9</v>
      </c>
    </row>
    <row r="11" spans="1:8" x14ac:dyDescent="0.35">
      <c r="A11" s="5">
        <v>2012</v>
      </c>
      <c r="B11" s="5" t="s">
        <v>10</v>
      </c>
      <c r="C11" s="5" t="s">
        <v>2</v>
      </c>
      <c r="D11" s="17">
        <v>35.741399999999999</v>
      </c>
      <c r="E11" s="17">
        <v>1.2374000000000001</v>
      </c>
      <c r="F11" s="17">
        <v>28.885000000000002</v>
      </c>
      <c r="G11" s="18">
        <v>0</v>
      </c>
      <c r="H11" s="5" t="s">
        <v>9</v>
      </c>
    </row>
    <row r="12" spans="1:8" x14ac:dyDescent="0.35">
      <c r="A12" s="5">
        <v>2012</v>
      </c>
      <c r="B12" s="5" t="s">
        <v>10</v>
      </c>
      <c r="C12" s="5" t="s">
        <v>3</v>
      </c>
      <c r="D12" s="17">
        <v>-22.767600000000002</v>
      </c>
      <c r="E12" s="17">
        <v>1.3268</v>
      </c>
      <c r="F12" s="17">
        <v>-17.16</v>
      </c>
      <c r="G12" s="18">
        <v>0</v>
      </c>
      <c r="H12" s="5" t="s">
        <v>9</v>
      </c>
    </row>
    <row r="13" spans="1:8" x14ac:dyDescent="0.35">
      <c r="A13" s="5">
        <v>2012</v>
      </c>
      <c r="B13" s="5" t="s">
        <v>10</v>
      </c>
      <c r="C13" s="5" t="s">
        <v>4</v>
      </c>
      <c r="D13" s="17">
        <v>-4.1257000000000001</v>
      </c>
      <c r="E13" s="17">
        <v>1.1889000000000001</v>
      </c>
      <c r="F13" s="17">
        <v>-3.47</v>
      </c>
      <c r="G13" s="18">
        <v>5.0000000000000001E-4</v>
      </c>
      <c r="H13" s="5" t="s">
        <v>9</v>
      </c>
    </row>
    <row r="14" spans="1:8" x14ac:dyDescent="0.35">
      <c r="A14" s="5"/>
      <c r="B14" s="5"/>
      <c r="C14" s="5"/>
      <c r="D14" s="5"/>
      <c r="E14" s="5"/>
      <c r="F14" s="5"/>
      <c r="G14" s="5"/>
      <c r="H14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D3F7A-D263-43B7-AAC2-6520F8E7C72D}">
  <dimension ref="A1:H13"/>
  <sheetViews>
    <sheetView workbookViewId="0">
      <selection activeCell="K15" sqref="K15"/>
    </sheetView>
  </sheetViews>
  <sheetFormatPr defaultRowHeight="14.5" x14ac:dyDescent="0.35"/>
  <cols>
    <col min="1" max="1" width="5.26953125" bestFit="1" customWidth="1"/>
    <col min="2" max="2" width="7.1796875" bestFit="1" customWidth="1"/>
    <col min="3" max="3" width="11.26953125" bestFit="1" customWidth="1"/>
    <col min="4" max="4" width="9.90625" bestFit="1" customWidth="1"/>
    <col min="5" max="5" width="5.36328125" bestFit="1" customWidth="1"/>
    <col min="6" max="6" width="7.36328125" bestFit="1" customWidth="1"/>
    <col min="7" max="7" width="7.26953125" bestFit="1" customWidth="1"/>
    <col min="8" max="8" width="9.7265625" bestFit="1" customWidth="1"/>
  </cols>
  <sheetData>
    <row r="1" spans="1:8" x14ac:dyDescent="0.35">
      <c r="A1" s="4" t="s">
        <v>18</v>
      </c>
      <c r="B1" s="4" t="s">
        <v>17</v>
      </c>
      <c r="C1" s="4" t="s">
        <v>0</v>
      </c>
      <c r="D1" s="4" t="s">
        <v>16</v>
      </c>
      <c r="E1" s="4" t="s">
        <v>15</v>
      </c>
      <c r="F1" s="4" t="s">
        <v>44</v>
      </c>
      <c r="G1" s="4" t="s">
        <v>14</v>
      </c>
      <c r="H1" s="4" t="s">
        <v>13</v>
      </c>
    </row>
    <row r="2" spans="1:8" x14ac:dyDescent="0.35">
      <c r="A2" s="5">
        <v>2022</v>
      </c>
      <c r="B2" s="5" t="s">
        <v>12</v>
      </c>
      <c r="C2" s="5" t="s">
        <v>11</v>
      </c>
      <c r="D2" s="17">
        <v>478.03519999999997</v>
      </c>
      <c r="E2" s="17">
        <v>1.3101</v>
      </c>
      <c r="F2" s="17">
        <v>364.88400000000001</v>
      </c>
      <c r="G2" s="18">
        <v>0</v>
      </c>
      <c r="H2" s="5" t="s">
        <v>9</v>
      </c>
    </row>
    <row r="3" spans="1:8" x14ac:dyDescent="0.35">
      <c r="A3" s="5">
        <v>2022</v>
      </c>
      <c r="B3" s="5" t="s">
        <v>12</v>
      </c>
      <c r="C3" s="5" t="s">
        <v>1</v>
      </c>
      <c r="D3" s="17">
        <v>20.959</v>
      </c>
      <c r="E3" s="17">
        <v>1.1316999999999999</v>
      </c>
      <c r="F3" s="17">
        <v>18.521000000000001</v>
      </c>
      <c r="G3" s="18">
        <v>0</v>
      </c>
      <c r="H3" s="5" t="s">
        <v>9</v>
      </c>
    </row>
    <row r="4" spans="1:8" x14ac:dyDescent="0.35">
      <c r="A4" s="5">
        <v>2022</v>
      </c>
      <c r="B4" s="5" t="s">
        <v>12</v>
      </c>
      <c r="C4" s="5" t="s">
        <v>8</v>
      </c>
      <c r="D4" s="17">
        <v>-19.769600000000001</v>
      </c>
      <c r="E4" s="17">
        <v>2.1797</v>
      </c>
      <c r="F4" s="17">
        <v>-9.07</v>
      </c>
      <c r="G4" s="18">
        <v>0</v>
      </c>
      <c r="H4" s="5" t="s">
        <v>9</v>
      </c>
    </row>
    <row r="5" spans="1:8" x14ac:dyDescent="0.35">
      <c r="A5" s="5">
        <v>2022</v>
      </c>
      <c r="B5" s="5" t="s">
        <v>12</v>
      </c>
      <c r="C5" s="5" t="s">
        <v>2</v>
      </c>
      <c r="D5" s="17">
        <v>26.454599999999999</v>
      </c>
      <c r="E5" s="17">
        <v>0.82450000000000001</v>
      </c>
      <c r="F5" s="17">
        <v>32.087000000000003</v>
      </c>
      <c r="G5" s="18">
        <v>0</v>
      </c>
      <c r="H5" s="5" t="s">
        <v>9</v>
      </c>
    </row>
    <row r="6" spans="1:8" x14ac:dyDescent="0.35">
      <c r="A6" s="5">
        <v>2022</v>
      </c>
      <c r="B6" s="5" t="s">
        <v>12</v>
      </c>
      <c r="C6" s="5" t="s">
        <v>3</v>
      </c>
      <c r="D6" s="17">
        <v>-10.3512</v>
      </c>
      <c r="E6" s="17">
        <v>0.82340000000000002</v>
      </c>
      <c r="F6" s="17">
        <v>-12.571999999999999</v>
      </c>
      <c r="G6" s="18">
        <v>0</v>
      </c>
      <c r="H6" s="5" t="s">
        <v>9</v>
      </c>
    </row>
    <row r="7" spans="1:8" x14ac:dyDescent="0.35">
      <c r="A7" s="5">
        <v>2022</v>
      </c>
      <c r="B7" s="5" t="s">
        <v>12</v>
      </c>
      <c r="C7" s="5" t="s">
        <v>4</v>
      </c>
      <c r="D7" s="17">
        <v>3.4594999999999998</v>
      </c>
      <c r="E7" s="17">
        <v>0.92859999999999998</v>
      </c>
      <c r="F7" s="17">
        <v>3.726</v>
      </c>
      <c r="G7" s="18">
        <v>2.0000000000000001E-4</v>
      </c>
      <c r="H7" s="5" t="s">
        <v>9</v>
      </c>
    </row>
    <row r="8" spans="1:8" x14ac:dyDescent="0.35">
      <c r="A8" s="5">
        <v>2022</v>
      </c>
      <c r="B8" s="5" t="s">
        <v>10</v>
      </c>
      <c r="C8" s="5" t="s">
        <v>11</v>
      </c>
      <c r="D8" s="17">
        <v>490.39120000000003</v>
      </c>
      <c r="E8" s="17">
        <v>0.94589999999999996</v>
      </c>
      <c r="F8" s="17">
        <v>518.46400000000006</v>
      </c>
      <c r="G8" s="18">
        <v>0</v>
      </c>
      <c r="H8" s="5" t="s">
        <v>9</v>
      </c>
    </row>
    <row r="9" spans="1:8" x14ac:dyDescent="0.35">
      <c r="A9" s="5">
        <v>2022</v>
      </c>
      <c r="B9" s="5" t="s">
        <v>10</v>
      </c>
      <c r="C9" s="5" t="s">
        <v>1</v>
      </c>
      <c r="D9" s="17">
        <v>24.164300000000001</v>
      </c>
      <c r="E9" s="17">
        <v>0.79259999999999997</v>
      </c>
      <c r="F9" s="17">
        <v>30.488</v>
      </c>
      <c r="G9" s="18">
        <v>0</v>
      </c>
      <c r="H9" s="5" t="s">
        <v>9</v>
      </c>
    </row>
    <row r="10" spans="1:8" x14ac:dyDescent="0.35">
      <c r="A10" s="5">
        <v>2022</v>
      </c>
      <c r="B10" s="5" t="s">
        <v>10</v>
      </c>
      <c r="C10" s="5" t="s">
        <v>8</v>
      </c>
      <c r="D10" s="17">
        <v>-48.060699999999997</v>
      </c>
      <c r="E10" s="17">
        <v>2.1153</v>
      </c>
      <c r="F10" s="17">
        <v>-22.72</v>
      </c>
      <c r="G10" s="18">
        <v>0</v>
      </c>
      <c r="H10" s="5" t="s">
        <v>9</v>
      </c>
    </row>
    <row r="11" spans="1:8" x14ac:dyDescent="0.35">
      <c r="A11" s="5">
        <v>2022</v>
      </c>
      <c r="B11" s="5" t="s">
        <v>10</v>
      </c>
      <c r="C11" s="5" t="s">
        <v>2</v>
      </c>
      <c r="D11" s="17">
        <v>27.6935</v>
      </c>
      <c r="E11" s="17">
        <v>0.60129999999999995</v>
      </c>
      <c r="F11" s="17">
        <v>46.058</v>
      </c>
      <c r="G11" s="18">
        <v>0</v>
      </c>
      <c r="H11" s="5" t="s">
        <v>9</v>
      </c>
    </row>
    <row r="12" spans="1:8" x14ac:dyDescent="0.35">
      <c r="A12" s="5">
        <v>2022</v>
      </c>
      <c r="B12" s="5" t="s">
        <v>10</v>
      </c>
      <c r="C12" s="5" t="s">
        <v>3</v>
      </c>
      <c r="D12" s="17">
        <v>-9.8301999999999996</v>
      </c>
      <c r="E12" s="17">
        <v>0.66169999999999995</v>
      </c>
      <c r="F12" s="17">
        <v>-14.856999999999999</v>
      </c>
      <c r="G12" s="18">
        <v>0</v>
      </c>
      <c r="H12" s="5" t="s">
        <v>9</v>
      </c>
    </row>
    <row r="13" spans="1:8" x14ac:dyDescent="0.35">
      <c r="A13" s="5">
        <v>2022</v>
      </c>
      <c r="B13" s="5" t="s">
        <v>10</v>
      </c>
      <c r="C13" s="5" t="s">
        <v>4</v>
      </c>
      <c r="D13" s="17">
        <v>4.1731999999999996</v>
      </c>
      <c r="E13" s="17">
        <v>0.82540000000000002</v>
      </c>
      <c r="F13" s="17">
        <v>5.056</v>
      </c>
      <c r="G13" s="18">
        <v>0</v>
      </c>
      <c r="H13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Inputs</vt:lpstr>
      <vt:lpstr>Decomposition</vt:lpstr>
      <vt:lpstr>Dual criterion tests</vt:lpstr>
      <vt:lpstr>Summary</vt:lpstr>
      <vt:lpstr>means_table_2012</vt:lpstr>
      <vt:lpstr>means_table_2022</vt:lpstr>
      <vt:lpstr>reg_results_2012</vt:lpstr>
      <vt:lpstr>reg_results_2022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Olena Kalchenko</cp:lastModifiedBy>
  <dcterms:created xsi:type="dcterms:W3CDTF">2026-04-22T22:44:15Z</dcterms:created>
  <dcterms:modified xsi:type="dcterms:W3CDTF">2026-05-05T12:58:43Z</dcterms:modified>
</cp:coreProperties>
</file>