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y2\Desktop\thesis\"/>
    </mc:Choice>
  </mc:AlternateContent>
  <xr:revisionPtr revIDLastSave="0" documentId="13_ncr:1_{B7DBA36F-F88D-46F5-9167-C16EE70D5D5F}" xr6:coauthVersionLast="47" xr6:coauthVersionMax="47" xr10:uidLastSave="{00000000-0000-0000-0000-000000000000}"/>
  <bookViews>
    <workbookView xWindow="5110" yWindow="1410" windowWidth="10400" windowHeight="6960" tabRatio="762" xr2:uid="{15995C0E-0064-47E9-8167-B48B25B29948}"/>
  </bookViews>
  <sheets>
    <sheet name="Inputs" sheetId="5" r:id="rId1"/>
    <sheet name="Decomposition" sheetId="6" r:id="rId2"/>
    <sheet name="Summary" sheetId="7" r:id="rId3"/>
    <sheet name="means_table_2012" sheetId="1" r:id="rId4"/>
    <sheet name="means_table_2022" sheetId="2" r:id="rId5"/>
    <sheet name="reg_results_2012" sheetId="3" r:id="rId6"/>
    <sheet name="reg_results_2022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7" l="1"/>
  <c r="B16" i="7"/>
  <c r="C15" i="7"/>
  <c r="C14" i="7"/>
  <c r="C13" i="7"/>
  <c r="C12" i="7"/>
  <c r="C11" i="7"/>
  <c r="C10" i="7"/>
  <c r="C7" i="7"/>
  <c r="C6" i="7"/>
  <c r="C5" i="7"/>
  <c r="C4" i="7"/>
  <c r="C3" i="7"/>
  <c r="C2" i="7"/>
  <c r="B2" i="7"/>
  <c r="E3" i="6"/>
  <c r="E8" i="6" s="1"/>
  <c r="G8" i="6"/>
  <c r="G7" i="6"/>
  <c r="G6" i="6"/>
  <c r="G5" i="6"/>
  <c r="G4" i="6"/>
  <c r="G3" i="6"/>
  <c r="F8" i="6"/>
  <c r="F7" i="6"/>
  <c r="F6" i="6"/>
  <c r="F5" i="6"/>
  <c r="F4" i="6"/>
  <c r="F3" i="6"/>
  <c r="E7" i="6"/>
  <c r="E6" i="6"/>
  <c r="E5" i="6"/>
  <c r="E4" i="6"/>
  <c r="F2" i="6"/>
  <c r="C2" i="6"/>
  <c r="G2" i="6"/>
  <c r="E2" i="6"/>
  <c r="B3" i="7"/>
  <c r="B3" i="6"/>
  <c r="B11" i="7" s="1"/>
  <c r="B15" i="7"/>
  <c r="D7" i="6"/>
  <c r="D6" i="6"/>
  <c r="D5" i="6"/>
  <c r="D4" i="6"/>
  <c r="D3" i="6"/>
  <c r="D2" i="6"/>
  <c r="C7" i="6"/>
  <c r="C6" i="6"/>
  <c r="C5" i="6"/>
  <c r="C4" i="6"/>
  <c r="C3" i="6"/>
  <c r="B7" i="6"/>
  <c r="B6" i="6"/>
  <c r="B14" i="7" s="1"/>
  <c r="B5" i="6"/>
  <c r="B13" i="7" s="1"/>
  <c r="B4" i="6"/>
  <c r="B12" i="7" s="1"/>
  <c r="B2" i="6"/>
  <c r="B10" i="7" s="1"/>
  <c r="D8" i="6" l="1"/>
  <c r="B6" i="7" s="1"/>
  <c r="B8" i="6"/>
  <c r="B4" i="7" l="1"/>
  <c r="C8" i="6"/>
  <c r="B5" i="7" s="1"/>
  <c r="B7" i="7" s="1"/>
</calcChain>
</file>

<file path=xl/sharedStrings.xml><?xml version="1.0" encoding="utf-8"?>
<sst xmlns="http://schemas.openxmlformats.org/spreadsheetml/2006/main" count="162" uniqueCount="51">
  <si>
    <t>variable</t>
  </si>
  <si>
    <t>mean_NOR</t>
  </si>
  <si>
    <t>mean_FIN</t>
  </si>
  <si>
    <t>diff_NOR_minus_FIN</t>
  </si>
  <si>
    <t>ESCS</t>
  </si>
  <si>
    <t>MATHEFF</t>
  </si>
  <si>
    <t>ANXMAT</t>
  </si>
  <si>
    <t>TEACHSUP</t>
  </si>
  <si>
    <t>LANGN_Majority</t>
  </si>
  <si>
    <t>LANGN_Other</t>
  </si>
  <si>
    <t>PV_MATH</t>
  </si>
  <si>
    <t>LANGNMajority</t>
  </si>
  <si>
    <t>LANGNOther</t>
  </si>
  <si>
    <t>*</t>
  </si>
  <si>
    <t>FIN</t>
  </si>
  <si>
    <t>(Intercept)</t>
  </si>
  <si>
    <t>NOR</t>
  </si>
  <si>
    <t>significant</t>
  </si>
  <si>
    <t>p_value</t>
  </si>
  <si>
    <t>z_value</t>
  </si>
  <si>
    <t>se</t>
  </si>
  <si>
    <t>coefficient</t>
  </si>
  <si>
    <t>country</t>
  </si>
  <si>
    <t>cycle</t>
  </si>
  <si>
    <t>Variable</t>
  </si>
  <si>
    <t>Mean_NOR_12</t>
  </si>
  <si>
    <t>Mean_NOR_22</t>
  </si>
  <si>
    <t>Coef_NOR_12</t>
  </si>
  <si>
    <t>Coef_NOR_22</t>
  </si>
  <si>
    <t>TOTAL</t>
  </si>
  <si>
    <t>Component</t>
  </si>
  <si>
    <t>Observed gap check</t>
  </si>
  <si>
    <t>Endowment effect</t>
  </si>
  <si>
    <t>Coefficient effect</t>
  </si>
  <si>
    <t>Interaction effect</t>
  </si>
  <si>
    <t>Sum check (should = Total gap)</t>
  </si>
  <si>
    <t>Variable contributions to Endowment</t>
  </si>
  <si>
    <t>Mean_FIN_12</t>
  </si>
  <si>
    <t>Mean_FIN_22</t>
  </si>
  <si>
    <t>Coef_FIN_12</t>
  </si>
  <si>
    <t>Coef_FIN_22</t>
  </si>
  <si>
    <t>Endowment_NOR</t>
  </si>
  <si>
    <t>Coefficient_NOR</t>
  </si>
  <si>
    <t>Interaction_NOR</t>
  </si>
  <si>
    <t>Endowment_FIN</t>
  </si>
  <si>
    <t>Coefficient_FIN</t>
  </si>
  <si>
    <t>Interaction_FIN</t>
  </si>
  <si>
    <t>Total gap (2012 − 2022)</t>
  </si>
  <si>
    <t>Points_NOR</t>
  </si>
  <si>
    <t>Points_FIN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</si>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</sst>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16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33" borderId="0" xfId="0" applyFont="1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52D2-B6DD-42B3-8CC5-06198CDC3936}">
  <dimension ref="A1:I7"/>
  <sheetViews>
    <sheetView tabSelected="1" zoomScale="89" workbookViewId="0">
      <selection activeCell="B15" sqref="B15"/>
    </sheetView>
  </sheetViews>
  <sheetFormatPr defaultColWidth="17.90625" defaultRowHeight="14.5" x14ac:dyDescent="0.35"/>
  <sheetData>
    <row r="1" spans="1:9" x14ac:dyDescent="0.35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2" t="s">
        <v>37</v>
      </c>
      <c r="G1" s="12" t="s">
        <v>38</v>
      </c>
      <c r="H1" s="12" t="s">
        <v>39</v>
      </c>
      <c r="I1" s="12" t="s">
        <v>40</v>
      </c>
    </row>
    <row r="2" spans="1:9" x14ac:dyDescent="0.35">
      <c r="A2" s="11" t="s">
        <v>15</v>
      </c>
      <c r="B2" s="8">
        <v>1</v>
      </c>
      <c r="C2" s="8">
        <v>1</v>
      </c>
      <c r="D2" s="8">
        <v>489.83819999999997</v>
      </c>
      <c r="E2" s="8">
        <v>478.03519999999997</v>
      </c>
      <c r="F2" s="8">
        <v>1</v>
      </c>
      <c r="G2" s="8">
        <v>1</v>
      </c>
      <c r="H2" s="8">
        <v>519.26409999999998</v>
      </c>
      <c r="I2" s="8">
        <v>490.39120000000003</v>
      </c>
    </row>
    <row r="3" spans="1:9" x14ac:dyDescent="0.35">
      <c r="A3" s="11" t="s">
        <v>4</v>
      </c>
      <c r="B3" s="8">
        <v>0.33119999999999999</v>
      </c>
      <c r="C3" s="8">
        <v>0.51200000000000001</v>
      </c>
      <c r="D3" s="8">
        <v>11.508800000000001</v>
      </c>
      <c r="E3" s="8">
        <v>20.959</v>
      </c>
      <c r="F3" s="8">
        <v>0.28289999999999998</v>
      </c>
      <c r="G3" s="8">
        <v>0.25869999999999999</v>
      </c>
      <c r="H3" s="8">
        <v>18.606300000000001</v>
      </c>
      <c r="I3" s="8">
        <v>24.164300000000001</v>
      </c>
    </row>
    <row r="4" spans="1:9" x14ac:dyDescent="0.35">
      <c r="A4" s="11" t="s">
        <v>9</v>
      </c>
      <c r="B4" s="8">
        <v>7.8E-2</v>
      </c>
      <c r="C4" s="8">
        <v>0.14080000000000001</v>
      </c>
      <c r="D4" s="8">
        <v>-36.189</v>
      </c>
      <c r="E4" s="8">
        <v>-19.769600000000001</v>
      </c>
      <c r="F4" s="8">
        <v>3.7499999999999999E-2</v>
      </c>
      <c r="G4" s="8">
        <v>8.0199999999999994E-2</v>
      </c>
      <c r="H4" s="8">
        <v>-66.232699999999994</v>
      </c>
      <c r="I4" s="8">
        <v>-48.060699999999997</v>
      </c>
    </row>
    <row r="5" spans="1:9" x14ac:dyDescent="0.35">
      <c r="A5" s="11" t="s">
        <v>5</v>
      </c>
      <c r="B5" s="8">
        <v>-2.6599999999999999E-2</v>
      </c>
      <c r="C5" s="8">
        <v>-0.55230000000000001</v>
      </c>
      <c r="D5" s="8">
        <v>34.6006</v>
      </c>
      <c r="E5" s="8">
        <v>26.454599999999999</v>
      </c>
      <c r="F5" s="8">
        <v>-0.26829999999999998</v>
      </c>
      <c r="G5" s="8">
        <v>-0.39279999999999998</v>
      </c>
      <c r="H5" s="8">
        <v>35.741399999999999</v>
      </c>
      <c r="I5" s="8">
        <v>27.6935</v>
      </c>
    </row>
    <row r="6" spans="1:9" x14ac:dyDescent="0.35">
      <c r="A6" s="11" t="s">
        <v>6</v>
      </c>
      <c r="B6" s="8">
        <v>1.8100000000000002E-2</v>
      </c>
      <c r="C6" s="8">
        <v>0.2203</v>
      </c>
      <c r="D6" s="8">
        <v>-23.207000000000001</v>
      </c>
      <c r="E6" s="8">
        <v>-10.3512</v>
      </c>
      <c r="F6" s="8">
        <v>-0.3049</v>
      </c>
      <c r="G6" s="8">
        <v>-0.25380000000000003</v>
      </c>
      <c r="H6" s="8">
        <v>-22.767600000000002</v>
      </c>
      <c r="I6" s="8">
        <v>-9.8301999999999996</v>
      </c>
    </row>
    <row r="7" spans="1:9" x14ac:dyDescent="0.35">
      <c r="A7" s="11" t="s">
        <v>7</v>
      </c>
      <c r="B7" s="8">
        <v>-3.7199999999999997E-2</v>
      </c>
      <c r="C7" s="8">
        <v>-0.18410000000000001</v>
      </c>
      <c r="D7" s="8">
        <v>2.9613</v>
      </c>
      <c r="E7" s="8">
        <v>3.4594999999999998</v>
      </c>
      <c r="F7" s="8">
        <v>0.15679999999999999</v>
      </c>
      <c r="G7" s="8">
        <v>-8.0000000000000002E-3</v>
      </c>
      <c r="H7" s="8">
        <v>-4.1257000000000001</v>
      </c>
      <c r="I7" s="8">
        <v>4.1731999999999996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9E6C-FD08-46B2-BFBC-B38048E89DAE}">
  <dimension ref="A1:G8"/>
  <sheetViews>
    <sheetView zoomScale="74" zoomScaleNormal="79" workbookViewId="0">
      <selection activeCell="C10" sqref="C10"/>
    </sheetView>
  </sheetViews>
  <sheetFormatPr defaultColWidth="17.7265625" defaultRowHeight="14.5" x14ac:dyDescent="0.35"/>
  <sheetData>
    <row r="1" spans="1:7" s="1" customFormat="1" x14ac:dyDescent="0.35">
      <c r="A1" s="10" t="s">
        <v>24</v>
      </c>
      <c r="B1" s="10" t="s">
        <v>41</v>
      </c>
      <c r="C1" s="10" t="s">
        <v>42</v>
      </c>
      <c r="D1" s="10" t="s">
        <v>43</v>
      </c>
      <c r="E1" s="2" t="s">
        <v>44</v>
      </c>
      <c r="F1" s="2" t="s">
        <v>45</v>
      </c>
      <c r="G1" s="2" t="s">
        <v>46</v>
      </c>
    </row>
    <row r="2" spans="1:7" x14ac:dyDescent="0.35">
      <c r="A2" s="11" t="s">
        <v>15</v>
      </c>
      <c r="B2" s="8">
        <f>0</f>
        <v>0</v>
      </c>
      <c r="C2" s="8">
        <f>(Inputs!D2-Inputs!E2)*Inputs!C2</f>
        <v>11.802999999999997</v>
      </c>
      <c r="D2" s="8">
        <f>0</f>
        <v>0</v>
      </c>
      <c r="E2">
        <f>0</f>
        <v>0</v>
      </c>
      <c r="F2">
        <f>(Inputs!H2-Inputs!I2)*1</f>
        <v>28.872899999999959</v>
      </c>
      <c r="G2">
        <f>0</f>
        <v>0</v>
      </c>
    </row>
    <row r="3" spans="1:7" x14ac:dyDescent="0.35">
      <c r="A3" s="11" t="s">
        <v>4</v>
      </c>
      <c r="B3" s="8">
        <f>(Inputs!B3-Inputs!C3)*Inputs!E3</f>
        <v>-3.7893872000000002</v>
      </c>
      <c r="C3" s="8">
        <f>Inputs!C3*(Inputs!D3-Inputs!E3)</f>
        <v>-4.8385023999999994</v>
      </c>
      <c r="D3" s="8">
        <f>(Inputs!B3-Inputs!C3)*(Inputs!D3-Inputs!E3)</f>
        <v>1.7085961599999999</v>
      </c>
      <c r="E3">
        <f>(Inputs!F3-Inputs!G3)*Inputs!I3</f>
        <v>0.58477606000000004</v>
      </c>
      <c r="F3">
        <f>Inputs!G3*(Inputs!H3-Inputs!I3)</f>
        <v>-1.4378545999999999</v>
      </c>
      <c r="G3">
        <f>(Inputs!F3-Inputs!G3)*(Inputs!H3-Inputs!I3)</f>
        <v>-0.1345036</v>
      </c>
    </row>
    <row r="4" spans="1:7" x14ac:dyDescent="0.35">
      <c r="A4" s="11" t="s">
        <v>12</v>
      </c>
      <c r="B4" s="8">
        <f>(Inputs!B4-Inputs!C4)*Inputs!E4</f>
        <v>1.2415308800000002</v>
      </c>
      <c r="C4" s="8">
        <f>Inputs!C4*(Inputs!D4-Inputs!E4)</f>
        <v>-2.3118515200000003</v>
      </c>
      <c r="D4" s="8">
        <f>(Inputs!B4-Inputs!C4)*(Inputs!D4-Inputs!E4)</f>
        <v>1.0311383200000002</v>
      </c>
      <c r="E4">
        <f>(Inputs!F4-Inputs!G4)*Inputs!I4</f>
        <v>2.0521918899999996</v>
      </c>
      <c r="F4">
        <f>Inputs!G4*(Inputs!H4-Inputs!I4)</f>
        <v>-1.4573943999999996</v>
      </c>
      <c r="G4">
        <f>(Inputs!F4-Inputs!G4)*(Inputs!H4-Inputs!I4)</f>
        <v>0.77594439999999976</v>
      </c>
    </row>
    <row r="5" spans="1:7" x14ac:dyDescent="0.35">
      <c r="A5" s="11" t="s">
        <v>5</v>
      </c>
      <c r="B5" s="8">
        <f>(Inputs!B5-Inputs!C5)*Inputs!E5</f>
        <v>13.90718322</v>
      </c>
      <c r="C5" s="8">
        <f>Inputs!C5*(Inputs!D5-Inputs!E5)</f>
        <v>-4.4990358000000006</v>
      </c>
      <c r="D5" s="8">
        <f>(Inputs!B5-Inputs!C5)*(Inputs!D5-Inputs!E5)</f>
        <v>4.2823522000000009</v>
      </c>
      <c r="E5">
        <f>(Inputs!F5-Inputs!G5)*Inputs!I5</f>
        <v>3.4478407500000001</v>
      </c>
      <c r="F5">
        <f>Inputs!G5*(Inputs!H5-Inputs!I5)</f>
        <v>-3.1612151199999992</v>
      </c>
      <c r="G5">
        <f>(Inputs!F5-Inputs!G5)*(Inputs!H5-Inputs!I5)</f>
        <v>1.0019635499999997</v>
      </c>
    </row>
    <row r="6" spans="1:7" x14ac:dyDescent="0.35">
      <c r="A6" s="11" t="s">
        <v>6</v>
      </c>
      <c r="B6" s="8">
        <f>(Inputs!B6-Inputs!C6)*Inputs!E6</f>
        <v>2.09301264</v>
      </c>
      <c r="C6" s="8">
        <f>Inputs!C6*(Inputs!D6-Inputs!E6)</f>
        <v>-2.83213274</v>
      </c>
      <c r="D6" s="8">
        <f>(Inputs!B6-Inputs!C6)*(Inputs!D6-Inputs!E6)</f>
        <v>2.5994427600000001</v>
      </c>
      <c r="E6">
        <f>(Inputs!F6-Inputs!G6)*Inputs!I6</f>
        <v>0.50232321999999974</v>
      </c>
      <c r="F6">
        <f>Inputs!G6*(Inputs!H6-Inputs!I6)</f>
        <v>3.283512120000001</v>
      </c>
      <c r="G6">
        <f>(Inputs!F6-Inputs!G6)*(Inputs!H6-Inputs!I6)</f>
        <v>0.66110113999999987</v>
      </c>
    </row>
    <row r="7" spans="1:7" x14ac:dyDescent="0.35">
      <c r="A7" s="11" t="s">
        <v>7</v>
      </c>
      <c r="B7" s="8">
        <f>(Inputs!B7-Inputs!C7)*Inputs!E7</f>
        <v>0.50820055000000008</v>
      </c>
      <c r="C7" s="8">
        <f>Inputs!C7*(Inputs!D7-Inputs!E7)</f>
        <v>9.1718619999999959E-2</v>
      </c>
      <c r="D7" s="8">
        <f>(Inputs!B7-Inputs!C7)*(Inputs!D7-Inputs!E7)</f>
        <v>-7.3185579999999972E-2</v>
      </c>
      <c r="E7">
        <f>(Inputs!F7-Inputs!G7)*Inputs!I7</f>
        <v>0.68774335999999991</v>
      </c>
      <c r="F7">
        <f>Inputs!G7*(Inputs!H7-Inputs!I7)</f>
        <v>6.6391199999999997E-2</v>
      </c>
      <c r="G7">
        <f>(Inputs!F7-Inputs!G7)*(Inputs!H7-Inputs!I7)</f>
        <v>-1.3676587199999999</v>
      </c>
    </row>
    <row r="8" spans="1:7" x14ac:dyDescent="0.35">
      <c r="A8" s="9" t="s">
        <v>29</v>
      </c>
      <c r="B8" s="8">
        <f t="shared" ref="B8:G8" si="0">SUM(B2:B7)</f>
        <v>13.960540089999999</v>
      </c>
      <c r="C8" s="8">
        <f t="shared" si="0"/>
        <v>-2.5868038400000031</v>
      </c>
      <c r="D8" s="8">
        <f t="shared" si="0"/>
        <v>9.548343860000001</v>
      </c>
      <c r="E8">
        <f t="shared" si="0"/>
        <v>7.2748752799999998</v>
      </c>
      <c r="F8" s="8">
        <f t="shared" si="0"/>
        <v>26.166339199999964</v>
      </c>
      <c r="G8" s="8">
        <f>SUM(G2:G7)</f>
        <v>0.93684676999999961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E154-FED8-4EFF-B7A1-AF1F1AE57CEC}">
  <dimension ref="A1:C16"/>
  <sheetViews>
    <sheetView zoomScale="76" workbookViewId="0">
      <selection activeCell="A19" sqref="A19"/>
    </sheetView>
  </sheetViews>
  <sheetFormatPr defaultRowHeight="14.5" x14ac:dyDescent="0.35"/>
  <cols>
    <col min="1" max="1" width="31" customWidth="1"/>
    <col min="2" max="2" width="18.26953125" customWidth="1"/>
    <col min="3" max="3" width="16.54296875" customWidth="1"/>
  </cols>
  <sheetData>
    <row r="1" spans="1:3" x14ac:dyDescent="0.35">
      <c r="A1" s="10" t="s">
        <v>30</v>
      </c>
      <c r="B1" s="10" t="s">
        <v>48</v>
      </c>
      <c r="C1" s="10" t="s">
        <v>49</v>
      </c>
    </row>
    <row r="2" spans="1:3" x14ac:dyDescent="0.35">
      <c r="A2" s="8" t="s">
        <v>47</v>
      </c>
      <c r="B2" s="8">
        <f>Decomposition!B8+Decomposition!C8+Decomposition!D8</f>
        <v>20.922080109999996</v>
      </c>
      <c r="C2">
        <f>Decomposition!E8+Decomposition!F8+Decomposition!G8</f>
        <v>34.378061249999966</v>
      </c>
    </row>
    <row r="3" spans="1:3" x14ac:dyDescent="0.35">
      <c r="A3" s="8" t="s">
        <v>31</v>
      </c>
      <c r="B3" s="8">
        <f>(Inputs!B2*Inputs!D2+Inputs!B3*Inputs!D3+Inputs!B4*Inputs!D4+Inputs!B5*Inputs!D5+Inputs!B6*Inputs!D6+Inputs!B7*Inputs!D7)-(Inputs!C2*Inputs!E2+Inputs!C3*Inputs!E3+Inputs!C4*Inputs!E4+Inputs!C5*Inputs!E5+Inputs!C6*Inputs!E6+Inputs!C7*Inputs!E7)</f>
        <v>20.922080110000024</v>
      </c>
      <c r="C3">
        <f>(Inputs!F2*Inputs!H2+Inputs!F3*Inputs!H3+Inputs!F4*Inputs!H4+Inputs!F5*Inputs!H5+Inputs!F6*Inputs!H6+Inputs!F7*Inputs!H7)-(Inputs!G2*Inputs!I2+Inputs!G3*Inputs!I3+Inputs!G4*Inputs!I4+Inputs!G5*Inputs!I5+Inputs!G6*Inputs!I6+Inputs!G7*Inputs!I7)</f>
        <v>34.37806125000003</v>
      </c>
    </row>
    <row r="4" spans="1:3" x14ac:dyDescent="0.35">
      <c r="A4" s="8" t="s">
        <v>32</v>
      </c>
      <c r="B4" s="8">
        <f>Decomposition!B8</f>
        <v>13.960540089999999</v>
      </c>
      <c r="C4">
        <f>Decomposition!E8</f>
        <v>7.2748752799999998</v>
      </c>
    </row>
    <row r="5" spans="1:3" x14ac:dyDescent="0.35">
      <c r="A5" s="8" t="s">
        <v>33</v>
      </c>
      <c r="B5" s="8">
        <f>Decomposition!C8</f>
        <v>-2.5868038400000031</v>
      </c>
      <c r="C5">
        <f>Decomposition!F8</f>
        <v>26.166339199999964</v>
      </c>
    </row>
    <row r="6" spans="1:3" x14ac:dyDescent="0.35">
      <c r="A6" s="8" t="s">
        <v>34</v>
      </c>
      <c r="B6" s="8">
        <f>Decomposition!D8</f>
        <v>9.548343860000001</v>
      </c>
      <c r="C6">
        <f>Decomposition!G8</f>
        <v>0.93684676999999961</v>
      </c>
    </row>
    <row r="7" spans="1:3" x14ac:dyDescent="0.35">
      <c r="A7" s="8" t="s">
        <v>35</v>
      </c>
      <c r="B7" s="8">
        <f>SUM(B4:B6)</f>
        <v>20.922080109999996</v>
      </c>
      <c r="C7">
        <f>SUM(C4:C6)</f>
        <v>34.378061249999966</v>
      </c>
    </row>
    <row r="8" spans="1:3" x14ac:dyDescent="0.35">
      <c r="A8" s="8"/>
      <c r="B8" s="8"/>
    </row>
    <row r="9" spans="1:3" ht="29" x14ac:dyDescent="0.35">
      <c r="A9" s="13" t="s">
        <v>36</v>
      </c>
      <c r="B9" s="13" t="s">
        <v>16</v>
      </c>
      <c r="C9" s="13" t="s">
        <v>14</v>
      </c>
    </row>
    <row r="10" spans="1:3" x14ac:dyDescent="0.35">
      <c r="A10" s="8" t="s">
        <v>15</v>
      </c>
      <c r="B10" s="8">
        <f>Decomposition!B2</f>
        <v>0</v>
      </c>
      <c r="C10">
        <f>Decomposition!E2</f>
        <v>0</v>
      </c>
    </row>
    <row r="11" spans="1:3" x14ac:dyDescent="0.35">
      <c r="A11" s="8" t="s">
        <v>4</v>
      </c>
      <c r="B11" s="8">
        <f>Decomposition!B3</f>
        <v>-3.7893872000000002</v>
      </c>
      <c r="C11">
        <f>Decomposition!E3</f>
        <v>0.58477606000000004</v>
      </c>
    </row>
    <row r="12" spans="1:3" x14ac:dyDescent="0.35">
      <c r="A12" s="8" t="s">
        <v>12</v>
      </c>
      <c r="B12" s="8">
        <f>Decomposition!B4</f>
        <v>1.2415308800000002</v>
      </c>
      <c r="C12">
        <f>Decomposition!E4</f>
        <v>2.0521918899999996</v>
      </c>
    </row>
    <row r="13" spans="1:3" x14ac:dyDescent="0.35">
      <c r="A13" s="8" t="s">
        <v>5</v>
      </c>
      <c r="B13" s="8">
        <f>Decomposition!B5</f>
        <v>13.90718322</v>
      </c>
      <c r="C13">
        <f>Decomposition!E5</f>
        <v>3.4478407500000001</v>
      </c>
    </row>
    <row r="14" spans="1:3" x14ac:dyDescent="0.35">
      <c r="A14" s="8" t="s">
        <v>6</v>
      </c>
      <c r="B14" s="8">
        <f>Decomposition!B6</f>
        <v>2.09301264</v>
      </c>
      <c r="C14">
        <f>Decomposition!E6</f>
        <v>0.50232321999999974</v>
      </c>
    </row>
    <row r="15" spans="1:3" x14ac:dyDescent="0.35">
      <c r="A15" s="8" t="s">
        <v>7</v>
      </c>
      <c r="B15" s="8">
        <f>Decomposition!B7</f>
        <v>0.50820055000000008</v>
      </c>
      <c r="C15">
        <f>Decomposition!E7</f>
        <v>0.68774335999999991</v>
      </c>
    </row>
    <row r="16" spans="1:3" x14ac:dyDescent="0.35">
      <c r="A16" s="10"/>
      <c r="B16" s="3">
        <f>SUM(B10:B15)</f>
        <v>13.960540089999999</v>
      </c>
      <c r="C16" s="3">
        <f>SUM(C10:C15)</f>
        <v>7.2748752799999998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7DD2-62DE-4299-B7E7-04B551DF0679}">
  <dimension ref="A1:F8"/>
  <sheetViews>
    <sheetView workbookViewId="0">
      <selection activeCell="C11" sqref="C11"/>
    </sheetView>
  </sheetViews>
  <sheetFormatPr defaultRowHeight="14.5" x14ac:dyDescent="0.35"/>
  <cols>
    <col min="1" max="1" width="14" bestFit="1" customWidth="1"/>
    <col min="2" max="3" width="10.36328125" customWidth="1"/>
    <col min="4" max="5" width="9.7265625" customWidth="1"/>
    <col min="6" max="6" width="19.08984375" customWidth="1"/>
  </cols>
  <sheetData>
    <row r="1" spans="1:6" x14ac:dyDescent="0.35">
      <c r="A1" s="2" t="s">
        <v>0</v>
      </c>
      <c r="B1" s="2" t="s">
        <v>1</v>
      </c>
      <c r="C1" s="2" t="s">
        <v>20</v>
      </c>
      <c r="D1" s="2" t="s">
        <v>2</v>
      </c>
      <c r="E1" s="2" t="s">
        <v>20</v>
      </c>
      <c r="F1" s="2" t="s">
        <v>3</v>
      </c>
    </row>
    <row r="2" spans="1:6" x14ac:dyDescent="0.35">
      <c r="A2" s="3" t="s">
        <v>4</v>
      </c>
      <c r="B2">
        <v>0.33119999999999999</v>
      </c>
      <c r="C2">
        <v>9.7000000000000003E-3</v>
      </c>
      <c r="D2">
        <v>0.28289999999999998</v>
      </c>
      <c r="E2">
        <v>7.7999999999999996E-3</v>
      </c>
      <c r="F2">
        <v>4.8300000000000003E-2</v>
      </c>
    </row>
    <row r="3" spans="1:6" x14ac:dyDescent="0.35">
      <c r="A3" s="3" t="s">
        <v>5</v>
      </c>
      <c r="B3">
        <v>-2.6599999999999999E-2</v>
      </c>
      <c r="C3">
        <v>1.54E-2</v>
      </c>
      <c r="D3">
        <v>-0.26829999999999998</v>
      </c>
      <c r="E3">
        <v>1.03E-2</v>
      </c>
      <c r="F3">
        <v>0.2417</v>
      </c>
    </row>
    <row r="4" spans="1:6" x14ac:dyDescent="0.35">
      <c r="A4" s="3" t="s">
        <v>6</v>
      </c>
      <c r="B4">
        <v>1.8100000000000002E-2</v>
      </c>
      <c r="C4">
        <v>1.37E-2</v>
      </c>
      <c r="D4">
        <v>-0.3049</v>
      </c>
      <c r="E4">
        <v>1.04E-2</v>
      </c>
      <c r="F4">
        <v>0.32300000000000001</v>
      </c>
    </row>
    <row r="5" spans="1:6" x14ac:dyDescent="0.35">
      <c r="A5" s="3" t="s">
        <v>7</v>
      </c>
      <c r="B5">
        <v>-3.7199999999999997E-2</v>
      </c>
      <c r="C5">
        <v>1.5100000000000001E-2</v>
      </c>
      <c r="D5">
        <v>0.15679999999999999</v>
      </c>
      <c r="E5">
        <v>1.24E-2</v>
      </c>
      <c r="F5">
        <v>-0.19400000000000001</v>
      </c>
    </row>
    <row r="6" spans="1:6" x14ac:dyDescent="0.35">
      <c r="A6" s="3" t="s">
        <v>8</v>
      </c>
      <c r="B6">
        <v>0.92200000000000004</v>
      </c>
      <c r="C6">
        <v>3.3E-3</v>
      </c>
      <c r="D6">
        <v>0.96250000000000002</v>
      </c>
      <c r="E6">
        <v>1.1999999999999999E-3</v>
      </c>
      <c r="F6">
        <v>-4.0500000000000001E-2</v>
      </c>
    </row>
    <row r="7" spans="1:6" x14ac:dyDescent="0.35">
      <c r="A7" s="3" t="s">
        <v>9</v>
      </c>
      <c r="B7">
        <v>7.8E-2</v>
      </c>
      <c r="C7">
        <v>3.3E-3</v>
      </c>
      <c r="D7">
        <v>3.7499999999999999E-2</v>
      </c>
      <c r="E7">
        <v>1.1999999999999999E-3</v>
      </c>
      <c r="F7">
        <v>4.0500000000000001E-2</v>
      </c>
    </row>
    <row r="8" spans="1:6" x14ac:dyDescent="0.35">
      <c r="A8" s="3" t="s">
        <v>10</v>
      </c>
      <c r="B8">
        <v>489.37310000000002</v>
      </c>
      <c r="C8">
        <v>1.3855</v>
      </c>
      <c r="D8">
        <v>518.75030000000004</v>
      </c>
      <c r="E8">
        <v>1.0214000000000001</v>
      </c>
      <c r="F8">
        <v>-29.377300000000002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6B13-2C1A-41D6-96FD-D11B7B9BAE61}">
  <dimension ref="A1:K17"/>
  <sheetViews>
    <sheetView workbookViewId="0">
      <selection activeCell="K17" sqref="K17"/>
    </sheetView>
  </sheetViews>
  <sheetFormatPr defaultRowHeight="14.5" x14ac:dyDescent="0.35"/>
  <cols>
    <col min="1" max="1" width="13.1796875" bestFit="1" customWidth="1"/>
    <col min="2" max="3" width="11" customWidth="1"/>
    <col min="4" max="5" width="11.6328125" customWidth="1"/>
    <col min="6" max="6" width="21.1796875" customWidth="1"/>
  </cols>
  <sheetData>
    <row r="1" spans="1:6" x14ac:dyDescent="0.35">
      <c r="A1" s="2" t="s">
        <v>0</v>
      </c>
      <c r="B1" s="2" t="s">
        <v>1</v>
      </c>
      <c r="C1" s="2" t="s">
        <v>20</v>
      </c>
      <c r="D1" s="2" t="s">
        <v>2</v>
      </c>
      <c r="E1" s="2" t="s">
        <v>20</v>
      </c>
      <c r="F1" s="2" t="s">
        <v>3</v>
      </c>
    </row>
    <row r="2" spans="1:6" x14ac:dyDescent="0.35">
      <c r="A2" s="3" t="s">
        <v>4</v>
      </c>
      <c r="B2">
        <v>0.51200000000000001</v>
      </c>
      <c r="C2">
        <v>9.7999999999999997E-3</v>
      </c>
      <c r="D2">
        <v>0.25869999999999999</v>
      </c>
      <c r="E2">
        <v>7.0000000000000001E-3</v>
      </c>
      <c r="F2">
        <v>0.25330000000000003</v>
      </c>
    </row>
    <row r="3" spans="1:6" x14ac:dyDescent="0.35">
      <c r="A3" s="3" t="s">
        <v>5</v>
      </c>
      <c r="B3">
        <v>-0.55230000000000001</v>
      </c>
      <c r="C3">
        <v>1.32E-2</v>
      </c>
      <c r="D3">
        <v>-0.39279999999999998</v>
      </c>
      <c r="E3">
        <v>1.06E-2</v>
      </c>
      <c r="F3">
        <v>-0.15939999999999999</v>
      </c>
    </row>
    <row r="4" spans="1:6" x14ac:dyDescent="0.35">
      <c r="A4" s="3" t="s">
        <v>6</v>
      </c>
      <c r="B4">
        <v>0.2203</v>
      </c>
      <c r="C4">
        <v>1.23E-2</v>
      </c>
      <c r="D4">
        <v>-0.25380000000000003</v>
      </c>
      <c r="E4">
        <v>9.7000000000000003E-3</v>
      </c>
      <c r="F4">
        <v>0.47420000000000001</v>
      </c>
    </row>
    <row r="5" spans="1:6" x14ac:dyDescent="0.35">
      <c r="A5" s="3" t="s">
        <v>7</v>
      </c>
      <c r="B5">
        <v>-0.18410000000000001</v>
      </c>
      <c r="C5">
        <v>1.17E-2</v>
      </c>
      <c r="D5">
        <v>-8.0000000000000002E-3</v>
      </c>
      <c r="E5">
        <v>9.7999999999999997E-3</v>
      </c>
      <c r="F5">
        <v>-0.17599999999999999</v>
      </c>
    </row>
    <row r="6" spans="1:6" x14ac:dyDescent="0.35">
      <c r="A6" s="3" t="s">
        <v>11</v>
      </c>
      <c r="B6">
        <v>0.85919999999999996</v>
      </c>
      <c r="C6">
        <v>3.8E-3</v>
      </c>
      <c r="D6">
        <v>0.91979999999999995</v>
      </c>
      <c r="E6">
        <v>1.5E-3</v>
      </c>
      <c r="F6">
        <v>-6.0600000000000001E-2</v>
      </c>
    </row>
    <row r="7" spans="1:6" x14ac:dyDescent="0.35">
      <c r="A7" s="3" t="s">
        <v>12</v>
      </c>
      <c r="B7">
        <v>0.14080000000000001</v>
      </c>
      <c r="C7">
        <v>3.8E-3</v>
      </c>
      <c r="D7">
        <v>8.0199999999999994E-2</v>
      </c>
      <c r="E7">
        <v>1.5E-3</v>
      </c>
      <c r="F7">
        <v>6.0600000000000001E-2</v>
      </c>
    </row>
    <row r="8" spans="1:6" x14ac:dyDescent="0.35">
      <c r="A8" s="3" t="s">
        <v>10</v>
      </c>
      <c r="B8">
        <v>468.44990000000001</v>
      </c>
      <c r="C8">
        <v>1.0720000000000001</v>
      </c>
      <c r="D8">
        <v>484.36739999999998</v>
      </c>
      <c r="E8">
        <v>0.98009999999999997</v>
      </c>
      <c r="F8">
        <v>-15.917400000000001</v>
      </c>
    </row>
    <row r="17" spans="11:11" x14ac:dyDescent="0.35">
      <c r="K1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590A-2DF7-4F7A-BF41-3E29AFD7B277}">
  <dimension ref="A1:H14"/>
  <sheetViews>
    <sheetView workbookViewId="0">
      <selection activeCell="K10" sqref="K10"/>
    </sheetView>
  </sheetViews>
  <sheetFormatPr defaultRowHeight="14.5" x14ac:dyDescent="0.35"/>
  <cols>
    <col min="1" max="1" width="5.08984375" bestFit="1" customWidth="1"/>
    <col min="2" max="2" width="6.90625" bestFit="1" customWidth="1"/>
    <col min="3" max="3" width="15.1796875" customWidth="1"/>
    <col min="4" max="4" width="14.54296875" customWidth="1"/>
    <col min="5" max="5" width="10.54296875" customWidth="1"/>
    <col min="6" max="6" width="10.1796875" customWidth="1"/>
    <col min="7" max="7" width="10.08984375" customWidth="1"/>
    <col min="8" max="8" width="9.1796875" bestFit="1" customWidth="1"/>
  </cols>
  <sheetData>
    <row r="1" spans="1:8" x14ac:dyDescent="0.35">
      <c r="A1" s="4" t="s">
        <v>23</v>
      </c>
      <c r="B1" s="4" t="s">
        <v>22</v>
      </c>
      <c r="C1" s="4" t="s">
        <v>0</v>
      </c>
      <c r="D1" s="4" t="s">
        <v>21</v>
      </c>
      <c r="E1" s="4" t="s">
        <v>20</v>
      </c>
      <c r="F1" s="4" t="s">
        <v>19</v>
      </c>
      <c r="G1" s="4" t="s">
        <v>18</v>
      </c>
      <c r="H1" s="4" t="s">
        <v>17</v>
      </c>
    </row>
    <row r="2" spans="1:8" x14ac:dyDescent="0.35">
      <c r="A2" s="5">
        <v>2012</v>
      </c>
      <c r="B2" s="5" t="s">
        <v>16</v>
      </c>
      <c r="C2" s="5" t="s">
        <v>15</v>
      </c>
      <c r="D2" s="6">
        <v>489.83819999999997</v>
      </c>
      <c r="E2" s="6">
        <v>1.2426999999999999</v>
      </c>
      <c r="F2" s="6">
        <v>394.18400000000003</v>
      </c>
      <c r="G2" s="6">
        <v>0</v>
      </c>
      <c r="H2" s="5" t="s">
        <v>13</v>
      </c>
    </row>
    <row r="3" spans="1:8" x14ac:dyDescent="0.35">
      <c r="A3" s="5">
        <v>2012</v>
      </c>
      <c r="B3" s="5" t="s">
        <v>16</v>
      </c>
      <c r="C3" s="5" t="s">
        <v>4</v>
      </c>
      <c r="D3" s="6">
        <v>11.508800000000001</v>
      </c>
      <c r="E3" s="6">
        <v>1.2866</v>
      </c>
      <c r="F3" s="6">
        <v>8.9450000000000003</v>
      </c>
      <c r="G3" s="6">
        <v>0</v>
      </c>
      <c r="H3" s="5" t="s">
        <v>13</v>
      </c>
    </row>
    <row r="4" spans="1:8" x14ac:dyDescent="0.35">
      <c r="A4" s="5">
        <v>2012</v>
      </c>
      <c r="B4" s="5" t="s">
        <v>16</v>
      </c>
      <c r="C4" s="5" t="s">
        <v>12</v>
      </c>
      <c r="D4" s="6">
        <v>-36.189</v>
      </c>
      <c r="E4" s="6">
        <v>3.3673000000000002</v>
      </c>
      <c r="F4" s="6">
        <v>-10.747</v>
      </c>
      <c r="G4" s="6">
        <v>0</v>
      </c>
      <c r="H4" s="5" t="s">
        <v>13</v>
      </c>
    </row>
    <row r="5" spans="1:8" x14ac:dyDescent="0.35">
      <c r="A5" s="5">
        <v>2012</v>
      </c>
      <c r="B5" s="5" t="s">
        <v>16</v>
      </c>
      <c r="C5" s="5" t="s">
        <v>5</v>
      </c>
      <c r="D5" s="6">
        <v>34.6006</v>
      </c>
      <c r="E5" s="6">
        <v>1.5484</v>
      </c>
      <c r="F5" s="6">
        <v>22.346</v>
      </c>
      <c r="G5" s="6">
        <v>0</v>
      </c>
      <c r="H5" s="5" t="s">
        <v>13</v>
      </c>
    </row>
    <row r="6" spans="1:8" x14ac:dyDescent="0.35">
      <c r="A6" s="5">
        <v>2012</v>
      </c>
      <c r="B6" s="5" t="s">
        <v>16</v>
      </c>
      <c r="C6" s="5" t="s">
        <v>6</v>
      </c>
      <c r="D6" s="6">
        <v>-23.207000000000001</v>
      </c>
      <c r="E6" s="6">
        <v>1.2912999999999999</v>
      </c>
      <c r="F6" s="6">
        <v>-17.971</v>
      </c>
      <c r="G6" s="6">
        <v>0</v>
      </c>
      <c r="H6" s="5" t="s">
        <v>13</v>
      </c>
    </row>
    <row r="7" spans="1:8" x14ac:dyDescent="0.35">
      <c r="A7" s="5">
        <v>2012</v>
      </c>
      <c r="B7" s="5" t="s">
        <v>16</v>
      </c>
      <c r="C7" s="5" t="s">
        <v>7</v>
      </c>
      <c r="D7" s="6">
        <v>2.9613</v>
      </c>
      <c r="E7" s="6">
        <v>1.4731000000000001</v>
      </c>
      <c r="F7" s="6">
        <v>2.0099999999999998</v>
      </c>
      <c r="G7" s="6">
        <v>4.4400000000000002E-2</v>
      </c>
      <c r="H7" s="5" t="s">
        <v>13</v>
      </c>
    </row>
    <row r="8" spans="1:8" x14ac:dyDescent="0.35">
      <c r="A8" s="5">
        <v>2012</v>
      </c>
      <c r="B8" s="5" t="s">
        <v>14</v>
      </c>
      <c r="C8" s="5" t="s">
        <v>15</v>
      </c>
      <c r="D8" s="6">
        <v>519.26409999999998</v>
      </c>
      <c r="E8" s="6">
        <v>1.0596000000000001</v>
      </c>
      <c r="F8" s="6">
        <v>490.03500000000003</v>
      </c>
      <c r="G8" s="6">
        <v>0</v>
      </c>
      <c r="H8" s="5" t="s">
        <v>13</v>
      </c>
    </row>
    <row r="9" spans="1:8" x14ac:dyDescent="0.35">
      <c r="A9" s="5">
        <v>2012</v>
      </c>
      <c r="B9" s="5" t="s">
        <v>14</v>
      </c>
      <c r="C9" s="5" t="s">
        <v>4</v>
      </c>
      <c r="D9" s="6">
        <v>18.606300000000001</v>
      </c>
      <c r="E9" s="6">
        <v>0.90820000000000001</v>
      </c>
      <c r="F9" s="6">
        <v>20.486999999999998</v>
      </c>
      <c r="G9" s="6">
        <v>0</v>
      </c>
      <c r="H9" s="5" t="s">
        <v>13</v>
      </c>
    </row>
    <row r="10" spans="1:8" x14ac:dyDescent="0.35">
      <c r="A10" s="5">
        <v>2012</v>
      </c>
      <c r="B10" s="5" t="s">
        <v>14</v>
      </c>
      <c r="C10" s="5" t="s">
        <v>12</v>
      </c>
      <c r="D10" s="6">
        <v>-66.232699999999994</v>
      </c>
      <c r="E10" s="6">
        <v>2.9405000000000001</v>
      </c>
      <c r="F10" s="6">
        <v>-22.524000000000001</v>
      </c>
      <c r="G10" s="6">
        <v>0</v>
      </c>
      <c r="H10" s="5" t="s">
        <v>13</v>
      </c>
    </row>
    <row r="11" spans="1:8" x14ac:dyDescent="0.35">
      <c r="A11" s="5">
        <v>2012</v>
      </c>
      <c r="B11" s="5" t="s">
        <v>14</v>
      </c>
      <c r="C11" s="5" t="s">
        <v>5</v>
      </c>
      <c r="D11" s="6">
        <v>35.741399999999999</v>
      </c>
      <c r="E11" s="6">
        <v>1.2374000000000001</v>
      </c>
      <c r="F11" s="6">
        <v>28.885000000000002</v>
      </c>
      <c r="G11" s="6">
        <v>0</v>
      </c>
      <c r="H11" s="5" t="s">
        <v>13</v>
      </c>
    </row>
    <row r="12" spans="1:8" x14ac:dyDescent="0.35">
      <c r="A12" s="5">
        <v>2012</v>
      </c>
      <c r="B12" s="5" t="s">
        <v>14</v>
      </c>
      <c r="C12" s="5" t="s">
        <v>6</v>
      </c>
      <c r="D12" s="6">
        <v>-22.767600000000002</v>
      </c>
      <c r="E12" s="6">
        <v>1.3268</v>
      </c>
      <c r="F12" s="6">
        <v>-17.16</v>
      </c>
      <c r="G12" s="6">
        <v>0</v>
      </c>
      <c r="H12" s="5" t="s">
        <v>13</v>
      </c>
    </row>
    <row r="13" spans="1:8" x14ac:dyDescent="0.35">
      <c r="A13" s="5">
        <v>2012</v>
      </c>
      <c r="B13" s="5" t="s">
        <v>14</v>
      </c>
      <c r="C13" s="5" t="s">
        <v>7</v>
      </c>
      <c r="D13" s="6">
        <v>-4.1257000000000001</v>
      </c>
      <c r="E13" s="6">
        <v>1.1889000000000001</v>
      </c>
      <c r="F13" s="6">
        <v>-3.47</v>
      </c>
      <c r="G13" s="7">
        <v>5.0000000000000001E-4</v>
      </c>
      <c r="H13" s="5" t="s">
        <v>13</v>
      </c>
    </row>
    <row r="14" spans="1:8" x14ac:dyDescent="0.35">
      <c r="A14" s="5"/>
      <c r="B14" s="5"/>
      <c r="C14" s="5"/>
      <c r="D14" s="5"/>
      <c r="E14" s="5"/>
      <c r="F14" s="5"/>
      <c r="G14" s="5"/>
      <c r="H1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3F7A-D263-43B7-AAC2-6520F8E7C72D}">
  <dimension ref="A1:H13"/>
  <sheetViews>
    <sheetView workbookViewId="0">
      <selection activeCell="I15" sqref="I15"/>
    </sheetView>
  </sheetViews>
  <sheetFormatPr defaultRowHeight="14.5" x14ac:dyDescent="0.35"/>
  <cols>
    <col min="1" max="1" width="7.08984375" customWidth="1"/>
    <col min="2" max="2" width="8.6328125" customWidth="1"/>
    <col min="3" max="3" width="11.26953125" bestFit="1" customWidth="1"/>
    <col min="4" max="4" width="12.7265625" customWidth="1"/>
    <col min="5" max="5" width="10" customWidth="1"/>
    <col min="6" max="6" width="9.6328125" customWidth="1"/>
    <col min="7" max="7" width="9.1796875" customWidth="1"/>
    <col min="8" max="8" width="13.54296875" customWidth="1"/>
  </cols>
  <sheetData>
    <row r="1" spans="1:8" x14ac:dyDescent="0.35">
      <c r="A1" s="4" t="s">
        <v>23</v>
      </c>
      <c r="B1" s="4" t="s">
        <v>22</v>
      </c>
      <c r="C1" s="4" t="s">
        <v>0</v>
      </c>
      <c r="D1" s="4" t="s">
        <v>21</v>
      </c>
      <c r="E1" s="4" t="s">
        <v>20</v>
      </c>
      <c r="F1" s="4" t="s">
        <v>19</v>
      </c>
      <c r="G1" s="4" t="s">
        <v>18</v>
      </c>
      <c r="H1" s="4" t="s">
        <v>17</v>
      </c>
    </row>
    <row r="2" spans="1:8" x14ac:dyDescent="0.35">
      <c r="A2" s="5">
        <v>2022</v>
      </c>
      <c r="B2" s="5" t="s">
        <v>16</v>
      </c>
      <c r="C2" s="5" t="s">
        <v>15</v>
      </c>
      <c r="D2" s="6">
        <v>478.03519999999997</v>
      </c>
      <c r="E2" s="6">
        <v>1.3101</v>
      </c>
      <c r="F2" s="6">
        <v>364.88400000000001</v>
      </c>
      <c r="G2" s="6">
        <v>0</v>
      </c>
      <c r="H2" s="5" t="s">
        <v>13</v>
      </c>
    </row>
    <row r="3" spans="1:8" x14ac:dyDescent="0.35">
      <c r="A3" s="5">
        <v>2022</v>
      </c>
      <c r="B3" s="5" t="s">
        <v>16</v>
      </c>
      <c r="C3" s="5" t="s">
        <v>4</v>
      </c>
      <c r="D3" s="6">
        <v>20.959</v>
      </c>
      <c r="E3" s="6">
        <v>1.1316999999999999</v>
      </c>
      <c r="F3" s="6">
        <v>18.521000000000001</v>
      </c>
      <c r="G3" s="6">
        <v>0</v>
      </c>
      <c r="H3" s="5" t="s">
        <v>13</v>
      </c>
    </row>
    <row r="4" spans="1:8" x14ac:dyDescent="0.35">
      <c r="A4" s="5">
        <v>2022</v>
      </c>
      <c r="B4" s="5" t="s">
        <v>16</v>
      </c>
      <c r="C4" s="5" t="s">
        <v>12</v>
      </c>
      <c r="D4" s="6">
        <v>-19.769600000000001</v>
      </c>
      <c r="E4" s="6">
        <v>2.1797</v>
      </c>
      <c r="F4" s="6">
        <v>-9.07</v>
      </c>
      <c r="G4" s="6">
        <v>0</v>
      </c>
      <c r="H4" s="5" t="s">
        <v>13</v>
      </c>
    </row>
    <row r="5" spans="1:8" x14ac:dyDescent="0.35">
      <c r="A5" s="5">
        <v>2022</v>
      </c>
      <c r="B5" s="5" t="s">
        <v>16</v>
      </c>
      <c r="C5" s="5" t="s">
        <v>5</v>
      </c>
      <c r="D5" s="6">
        <v>26.454599999999999</v>
      </c>
      <c r="E5" s="6">
        <v>0.82450000000000001</v>
      </c>
      <c r="F5" s="6">
        <v>32.087000000000003</v>
      </c>
      <c r="G5" s="6">
        <v>0</v>
      </c>
      <c r="H5" s="5" t="s">
        <v>13</v>
      </c>
    </row>
    <row r="6" spans="1:8" x14ac:dyDescent="0.35">
      <c r="A6" s="5">
        <v>2022</v>
      </c>
      <c r="B6" s="5" t="s">
        <v>16</v>
      </c>
      <c r="C6" s="5" t="s">
        <v>6</v>
      </c>
      <c r="D6" s="6">
        <v>-10.3512</v>
      </c>
      <c r="E6" s="6">
        <v>0.82340000000000002</v>
      </c>
      <c r="F6" s="6">
        <v>-12.571999999999999</v>
      </c>
      <c r="G6" s="6">
        <v>0</v>
      </c>
      <c r="H6" s="5" t="s">
        <v>13</v>
      </c>
    </row>
    <row r="7" spans="1:8" x14ac:dyDescent="0.35">
      <c r="A7" s="5">
        <v>2022</v>
      </c>
      <c r="B7" s="5" t="s">
        <v>16</v>
      </c>
      <c r="C7" s="5" t="s">
        <v>7</v>
      </c>
      <c r="D7" s="6">
        <v>3.4594999999999998</v>
      </c>
      <c r="E7" s="6">
        <v>0.92859999999999998</v>
      </c>
      <c r="F7" s="6">
        <v>3.726</v>
      </c>
      <c r="G7" s="6">
        <v>2.0000000000000001E-4</v>
      </c>
      <c r="H7" s="5" t="s">
        <v>13</v>
      </c>
    </row>
    <row r="8" spans="1:8" x14ac:dyDescent="0.35">
      <c r="A8" s="5">
        <v>2022</v>
      </c>
      <c r="B8" s="5" t="s">
        <v>14</v>
      </c>
      <c r="C8" s="5" t="s">
        <v>15</v>
      </c>
      <c r="D8" s="6">
        <v>490.39120000000003</v>
      </c>
      <c r="E8" s="6">
        <v>0.94589999999999996</v>
      </c>
      <c r="F8" s="6">
        <v>518.46400000000006</v>
      </c>
      <c r="G8" s="6">
        <v>0</v>
      </c>
      <c r="H8" s="5" t="s">
        <v>13</v>
      </c>
    </row>
    <row r="9" spans="1:8" x14ac:dyDescent="0.35">
      <c r="A9" s="5">
        <v>2022</v>
      </c>
      <c r="B9" s="5" t="s">
        <v>14</v>
      </c>
      <c r="C9" s="5" t="s">
        <v>4</v>
      </c>
      <c r="D9" s="6">
        <v>24.164300000000001</v>
      </c>
      <c r="E9" s="6">
        <v>0.79259999999999997</v>
      </c>
      <c r="F9" s="6">
        <v>30.488</v>
      </c>
      <c r="G9" s="6">
        <v>0</v>
      </c>
      <c r="H9" s="5" t="s">
        <v>13</v>
      </c>
    </row>
    <row r="10" spans="1:8" x14ac:dyDescent="0.35">
      <c r="A10" s="5">
        <v>2022</v>
      </c>
      <c r="B10" s="5" t="s">
        <v>14</v>
      </c>
      <c r="C10" s="5" t="s">
        <v>12</v>
      </c>
      <c r="D10" s="6">
        <v>-48.060699999999997</v>
      </c>
      <c r="E10" s="6">
        <v>2.1153</v>
      </c>
      <c r="F10" s="6">
        <v>-22.72</v>
      </c>
      <c r="G10" s="6">
        <v>0</v>
      </c>
      <c r="H10" s="5" t="s">
        <v>13</v>
      </c>
    </row>
    <row r="11" spans="1:8" x14ac:dyDescent="0.35">
      <c r="A11" s="5">
        <v>2022</v>
      </c>
      <c r="B11" s="5" t="s">
        <v>14</v>
      </c>
      <c r="C11" s="5" t="s">
        <v>5</v>
      </c>
      <c r="D11" s="6">
        <v>27.6935</v>
      </c>
      <c r="E11" s="6">
        <v>0.60129999999999995</v>
      </c>
      <c r="F11" s="6">
        <v>46.058</v>
      </c>
      <c r="G11" s="6">
        <v>0</v>
      </c>
      <c r="H11" s="5" t="s">
        <v>13</v>
      </c>
    </row>
    <row r="12" spans="1:8" x14ac:dyDescent="0.35">
      <c r="A12" s="5">
        <v>2022</v>
      </c>
      <c r="B12" s="5" t="s">
        <v>14</v>
      </c>
      <c r="C12" s="5" t="s">
        <v>6</v>
      </c>
      <c r="D12" s="6">
        <v>-9.8301999999999996</v>
      </c>
      <c r="E12" s="6">
        <v>0.66169999999999995</v>
      </c>
      <c r="F12" s="6">
        <v>-14.856999999999999</v>
      </c>
      <c r="G12" s="6">
        <v>0</v>
      </c>
      <c r="H12" s="5" t="s">
        <v>13</v>
      </c>
    </row>
    <row r="13" spans="1:8" x14ac:dyDescent="0.35">
      <c r="A13" s="5">
        <v>2022</v>
      </c>
      <c r="B13" s="5" t="s">
        <v>14</v>
      </c>
      <c r="C13" s="5" t="s">
        <v>7</v>
      </c>
      <c r="D13" s="6">
        <v>4.1731999999999996</v>
      </c>
      <c r="E13" s="6">
        <v>0.82540000000000002</v>
      </c>
      <c r="F13" s="6">
        <v>5.056</v>
      </c>
      <c r="G13" s="7">
        <v>0</v>
      </c>
      <c r="H13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Decomposition</vt:lpstr>
      <vt:lpstr>Summary</vt:lpstr>
      <vt:lpstr>means_table_2012</vt:lpstr>
      <vt:lpstr>means_table_2022</vt:lpstr>
      <vt:lpstr>reg_results_2012</vt:lpstr>
      <vt:lpstr>reg_results_2022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Olena Kalchenko</cp:lastModifiedBy>
  <dcterms:created xsi:type="dcterms:W3CDTF">2026-04-22T22:44:15Z</dcterms:created>
  <dcterms:modified xsi:type="dcterms:W3CDTF">2026-04-23T18:20:06Z</dcterms:modified>
</cp:coreProperties>
</file>